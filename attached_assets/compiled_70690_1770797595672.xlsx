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namranaseem/Desktop/Noon/Teacher Performance/working/70690/"/>
    </mc:Choice>
  </mc:AlternateContent>
  <xr:revisionPtr revIDLastSave="0" documentId="13_ncr:1_{D05706D3-F097-1B4E-AC67-F85ADDA09B4E}" xr6:coauthVersionLast="47" xr6:coauthVersionMax="47" xr10:uidLastSave="{00000000-0000-0000-0000-000000000000}"/>
  <bookViews>
    <workbookView xWindow="6260" yWindow="760" windowWidth="23140" windowHeight="17080" firstSheet="1" activeTab="7" xr2:uid="{772C07A6-9CC3-A743-9727-C79774324446}"/>
  </bookViews>
  <sheets>
    <sheet name="Sheet1" sheetId="1" state="hidden" r:id="rId1"/>
    <sheet name="70690 transcript" sheetId="2" r:id="rId2"/>
    <sheet name="f_user_session_70690" sheetId="3" r:id="rId3"/>
    <sheet name="f_user_reaction_70690" sheetId="4" r:id="rId4"/>
    <sheet name="f_user_poll_70690" sheetId="5" r:id="rId5"/>
    <sheet name="d_classroom_activity_70690" sheetId="6" r:id="rId6"/>
    <sheet name="chats_70690" sheetId="7" r:id="rId7"/>
    <sheet name="f_course_session_70690"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 i="1" l="1"/>
  <c r="G1" i="1"/>
  <c r="I418" i="1"/>
  <c r="H418" i="1"/>
  <c r="G418" i="1"/>
  <c r="I417" i="1"/>
  <c r="H417" i="1"/>
  <c r="G417" i="1"/>
  <c r="I416" i="1"/>
  <c r="H416" i="1"/>
  <c r="G416" i="1"/>
  <c r="I415" i="1"/>
  <c r="H415" i="1"/>
  <c r="G415" i="1"/>
  <c r="I414" i="1"/>
  <c r="H414" i="1"/>
  <c r="G414" i="1"/>
  <c r="I413" i="1"/>
  <c r="H413" i="1"/>
  <c r="G413" i="1"/>
  <c r="I412" i="1"/>
  <c r="H412" i="1"/>
  <c r="G412" i="1"/>
  <c r="I411" i="1"/>
  <c r="H411" i="1"/>
  <c r="G411" i="1"/>
  <c r="I410" i="1"/>
  <c r="H410" i="1"/>
  <c r="G410" i="1"/>
  <c r="I409" i="1"/>
  <c r="H409" i="1"/>
  <c r="G409" i="1"/>
  <c r="I408" i="1"/>
  <c r="H408" i="1"/>
  <c r="G408" i="1"/>
  <c r="I407" i="1"/>
  <c r="H407" i="1"/>
  <c r="G407" i="1"/>
  <c r="I406" i="1"/>
  <c r="H406" i="1"/>
  <c r="G406" i="1"/>
  <c r="I405" i="1"/>
  <c r="H405" i="1"/>
  <c r="G405" i="1"/>
  <c r="I404" i="1"/>
  <c r="H404" i="1"/>
  <c r="G404" i="1"/>
  <c r="I403" i="1"/>
  <c r="H403" i="1"/>
  <c r="G403" i="1"/>
  <c r="I402" i="1"/>
  <c r="H402" i="1"/>
  <c r="G402" i="1"/>
  <c r="I401" i="1"/>
  <c r="H401" i="1"/>
  <c r="G401" i="1"/>
  <c r="I400" i="1"/>
  <c r="H400" i="1"/>
  <c r="G400" i="1"/>
  <c r="I399" i="1"/>
  <c r="H399" i="1"/>
  <c r="G399" i="1"/>
  <c r="I398" i="1"/>
  <c r="H398" i="1"/>
  <c r="G398" i="1"/>
  <c r="I397" i="1"/>
  <c r="H397" i="1"/>
  <c r="G397" i="1"/>
  <c r="I396" i="1"/>
  <c r="H396" i="1"/>
  <c r="G396" i="1"/>
  <c r="I395" i="1"/>
  <c r="H395" i="1"/>
  <c r="G395" i="1"/>
  <c r="I394" i="1"/>
  <c r="H394" i="1"/>
  <c r="G394" i="1"/>
  <c r="I393" i="1"/>
  <c r="H393" i="1"/>
  <c r="G393" i="1"/>
  <c r="I392" i="1"/>
  <c r="H392" i="1"/>
  <c r="G392" i="1"/>
  <c r="I391" i="1"/>
  <c r="H391" i="1"/>
  <c r="G391" i="1"/>
  <c r="I390" i="1"/>
  <c r="H390" i="1"/>
  <c r="G390" i="1"/>
  <c r="I389" i="1"/>
  <c r="H389" i="1"/>
  <c r="G389" i="1"/>
  <c r="I388" i="1"/>
  <c r="H388" i="1"/>
  <c r="G388" i="1"/>
  <c r="I387" i="1"/>
  <c r="H387" i="1"/>
  <c r="G387" i="1"/>
  <c r="I386" i="1"/>
  <c r="H386" i="1"/>
  <c r="G386" i="1"/>
  <c r="I385" i="1"/>
  <c r="H385" i="1"/>
  <c r="G385" i="1"/>
  <c r="I384" i="1"/>
  <c r="H384" i="1"/>
  <c r="G384" i="1"/>
  <c r="I383" i="1"/>
  <c r="H383" i="1"/>
  <c r="G383" i="1"/>
  <c r="I382" i="1"/>
  <c r="H382" i="1"/>
  <c r="G382" i="1"/>
  <c r="I381" i="1"/>
  <c r="H381" i="1"/>
  <c r="G381" i="1"/>
  <c r="I380" i="1"/>
  <c r="H380" i="1"/>
  <c r="G380" i="1"/>
  <c r="I379" i="1"/>
  <c r="H379" i="1"/>
  <c r="G379" i="1"/>
  <c r="I378" i="1"/>
  <c r="H378" i="1"/>
  <c r="G378" i="1"/>
  <c r="I377" i="1"/>
  <c r="H377" i="1"/>
  <c r="G377" i="1"/>
  <c r="I376" i="1"/>
  <c r="H376" i="1"/>
  <c r="G376" i="1"/>
  <c r="I375" i="1"/>
  <c r="H375" i="1"/>
  <c r="G375" i="1"/>
  <c r="I374" i="1"/>
  <c r="H374" i="1"/>
  <c r="G374" i="1"/>
  <c r="I373" i="1"/>
  <c r="H373" i="1"/>
  <c r="G373" i="1"/>
  <c r="I372" i="1"/>
  <c r="H372" i="1"/>
  <c r="G372" i="1"/>
  <c r="I371" i="1"/>
  <c r="H371" i="1"/>
  <c r="G371" i="1"/>
  <c r="I370" i="1"/>
  <c r="H370" i="1"/>
  <c r="G370" i="1"/>
  <c r="I369" i="1"/>
  <c r="H369" i="1"/>
  <c r="G369" i="1"/>
  <c r="I368" i="1"/>
  <c r="H368" i="1"/>
  <c r="G368" i="1"/>
  <c r="I367" i="1"/>
  <c r="H367" i="1"/>
  <c r="G367" i="1"/>
  <c r="I366" i="1"/>
  <c r="H366" i="1"/>
  <c r="G366" i="1"/>
  <c r="I365" i="1"/>
  <c r="H365" i="1"/>
  <c r="G365" i="1"/>
  <c r="I364" i="1"/>
  <c r="H364" i="1"/>
  <c r="G364" i="1"/>
  <c r="I363" i="1"/>
  <c r="H363" i="1"/>
  <c r="G363" i="1"/>
  <c r="I362" i="1"/>
  <c r="H362" i="1"/>
  <c r="G362" i="1"/>
  <c r="I361" i="1"/>
  <c r="H361" i="1"/>
  <c r="G361" i="1"/>
  <c r="I360" i="1"/>
  <c r="H360" i="1"/>
  <c r="G360" i="1"/>
  <c r="I359" i="1"/>
  <c r="H359" i="1"/>
  <c r="G359" i="1"/>
  <c r="I358" i="1"/>
  <c r="H358" i="1"/>
  <c r="G358" i="1"/>
  <c r="I357" i="1"/>
  <c r="H357" i="1"/>
  <c r="G357" i="1"/>
  <c r="I356" i="1"/>
  <c r="H356" i="1"/>
  <c r="G356" i="1"/>
  <c r="I355" i="1"/>
  <c r="H355" i="1"/>
  <c r="G355" i="1"/>
  <c r="I354" i="1"/>
  <c r="H354" i="1"/>
  <c r="G354" i="1"/>
  <c r="I353" i="1"/>
  <c r="H353" i="1"/>
  <c r="G353" i="1"/>
  <c r="I352" i="1"/>
  <c r="H352" i="1"/>
  <c r="G352" i="1"/>
  <c r="I351" i="1"/>
  <c r="H351" i="1"/>
  <c r="G351" i="1"/>
  <c r="I350" i="1"/>
  <c r="H350" i="1"/>
  <c r="G350" i="1"/>
  <c r="I349" i="1"/>
  <c r="H349" i="1"/>
  <c r="G349" i="1"/>
  <c r="I348" i="1"/>
  <c r="H348" i="1"/>
  <c r="G348" i="1"/>
  <c r="I347" i="1"/>
  <c r="H347" i="1"/>
  <c r="G347" i="1"/>
  <c r="I346" i="1"/>
  <c r="H346" i="1"/>
  <c r="G346" i="1"/>
  <c r="I345" i="1"/>
  <c r="H345" i="1"/>
  <c r="G345" i="1"/>
  <c r="I344" i="1"/>
  <c r="H344" i="1"/>
  <c r="G344" i="1"/>
  <c r="I343" i="1"/>
  <c r="H343" i="1"/>
  <c r="G343" i="1"/>
  <c r="I342" i="1"/>
  <c r="H342" i="1"/>
  <c r="G342" i="1"/>
  <c r="I341" i="1"/>
  <c r="H341" i="1"/>
  <c r="G341" i="1"/>
  <c r="I340" i="1"/>
  <c r="C115" i="2" s="1" a="1"/>
  <c r="C115" i="2" s="1"/>
  <c r="H340" i="1"/>
  <c r="G340" i="1"/>
  <c r="I339" i="1"/>
  <c r="H339" i="1"/>
  <c r="G339" i="1"/>
  <c r="I338" i="1"/>
  <c r="H338" i="1"/>
  <c r="G338" i="1"/>
  <c r="I337" i="1"/>
  <c r="C114" i="2" s="1" a="1"/>
  <c r="C114" i="2" s="1"/>
  <c r="H337" i="1"/>
  <c r="G337" i="1"/>
  <c r="I336" i="1"/>
  <c r="H336" i="1"/>
  <c r="G336" i="1"/>
  <c r="I335" i="1"/>
  <c r="H335" i="1"/>
  <c r="G335" i="1"/>
  <c r="I334" i="1"/>
  <c r="H334" i="1"/>
  <c r="G334" i="1"/>
  <c r="I333" i="1"/>
  <c r="H333" i="1"/>
  <c r="G333" i="1"/>
  <c r="I332" i="1"/>
  <c r="H332" i="1"/>
  <c r="G332" i="1"/>
  <c r="I331" i="1"/>
  <c r="C112" i="2" s="1" a="1"/>
  <c r="C112" i="2" s="1"/>
  <c r="H331" i="1"/>
  <c r="G331" i="1"/>
  <c r="I330" i="1"/>
  <c r="H330" i="1"/>
  <c r="G330" i="1"/>
  <c r="I329" i="1"/>
  <c r="H329" i="1"/>
  <c r="G329" i="1"/>
  <c r="I328" i="1"/>
  <c r="H328" i="1"/>
  <c r="G328" i="1"/>
  <c r="I327" i="1"/>
  <c r="H327" i="1"/>
  <c r="G327" i="1"/>
  <c r="I326" i="1"/>
  <c r="H326" i="1"/>
  <c r="G326" i="1"/>
  <c r="I325" i="1"/>
  <c r="H325" i="1"/>
  <c r="G325" i="1"/>
  <c r="I324" i="1"/>
  <c r="H324" i="1"/>
  <c r="G324" i="1"/>
  <c r="I323" i="1"/>
  <c r="H323" i="1"/>
  <c r="G323" i="1"/>
  <c r="I322" i="1"/>
  <c r="H322" i="1"/>
  <c r="G322" i="1"/>
  <c r="I321" i="1"/>
  <c r="H321" i="1"/>
  <c r="G321" i="1"/>
  <c r="I320" i="1"/>
  <c r="H320" i="1"/>
  <c r="G320" i="1"/>
  <c r="I319" i="1"/>
  <c r="H319" i="1"/>
  <c r="G319" i="1"/>
  <c r="I318" i="1"/>
  <c r="H318" i="1"/>
  <c r="G318" i="1"/>
  <c r="I317" i="1"/>
  <c r="H317" i="1"/>
  <c r="G317" i="1"/>
  <c r="I316" i="1"/>
  <c r="C107" i="2" s="1" a="1"/>
  <c r="C107" i="2" s="1"/>
  <c r="H316" i="1"/>
  <c r="G316" i="1"/>
  <c r="I315" i="1"/>
  <c r="H315" i="1"/>
  <c r="G315" i="1"/>
  <c r="I314" i="1"/>
  <c r="H314" i="1"/>
  <c r="G314" i="1"/>
  <c r="I313" i="1"/>
  <c r="C106" i="2" s="1" a="1"/>
  <c r="C106" i="2" s="1"/>
  <c r="H313" i="1"/>
  <c r="G313" i="1"/>
  <c r="I312" i="1"/>
  <c r="H312" i="1"/>
  <c r="G312" i="1"/>
  <c r="I311" i="1"/>
  <c r="H311" i="1"/>
  <c r="G311" i="1"/>
  <c r="I310" i="1"/>
  <c r="H310" i="1"/>
  <c r="G310" i="1"/>
  <c r="I309" i="1"/>
  <c r="H309" i="1"/>
  <c r="G309" i="1"/>
  <c r="I308" i="1"/>
  <c r="H308" i="1"/>
  <c r="G308" i="1"/>
  <c r="I307" i="1"/>
  <c r="C104" i="2" s="1" a="1"/>
  <c r="C104" i="2" s="1"/>
  <c r="H307" i="1"/>
  <c r="G307" i="1"/>
  <c r="I306" i="1"/>
  <c r="H306" i="1"/>
  <c r="G306" i="1"/>
  <c r="I305" i="1"/>
  <c r="H305" i="1"/>
  <c r="G305" i="1"/>
  <c r="I304" i="1"/>
  <c r="H304" i="1"/>
  <c r="G304" i="1"/>
  <c r="I303" i="1"/>
  <c r="H303" i="1"/>
  <c r="G303" i="1"/>
  <c r="I302" i="1"/>
  <c r="H302" i="1"/>
  <c r="G302" i="1"/>
  <c r="I301" i="1"/>
  <c r="H301" i="1"/>
  <c r="G301" i="1"/>
  <c r="I300" i="1"/>
  <c r="H300" i="1"/>
  <c r="G300" i="1"/>
  <c r="I299" i="1"/>
  <c r="H299" i="1"/>
  <c r="G299" i="1"/>
  <c r="I298" i="1"/>
  <c r="H298" i="1"/>
  <c r="G298" i="1"/>
  <c r="I297" i="1"/>
  <c r="H297" i="1"/>
  <c r="G297" i="1"/>
  <c r="I296" i="1"/>
  <c r="H296" i="1"/>
  <c r="G296" i="1"/>
  <c r="I295" i="1"/>
  <c r="H295" i="1"/>
  <c r="G295" i="1"/>
  <c r="I294" i="1"/>
  <c r="H294" i="1"/>
  <c r="G294" i="1"/>
  <c r="I293" i="1"/>
  <c r="H293" i="1"/>
  <c r="G293" i="1"/>
  <c r="I292" i="1"/>
  <c r="C99" i="2" s="1" a="1"/>
  <c r="C99" i="2" s="1"/>
  <c r="H292" i="1"/>
  <c r="G292" i="1"/>
  <c r="I291" i="1"/>
  <c r="H291" i="1"/>
  <c r="G291" i="1"/>
  <c r="I290" i="1"/>
  <c r="H290" i="1"/>
  <c r="G290" i="1"/>
  <c r="I289" i="1"/>
  <c r="C98" i="2" s="1" a="1"/>
  <c r="C98" i="2" s="1"/>
  <c r="H289" i="1"/>
  <c r="G289" i="1"/>
  <c r="I288" i="1"/>
  <c r="H288" i="1"/>
  <c r="G288" i="1"/>
  <c r="I287" i="1"/>
  <c r="H287" i="1"/>
  <c r="G287" i="1"/>
  <c r="I286" i="1"/>
  <c r="H286" i="1"/>
  <c r="G286" i="1"/>
  <c r="I285" i="1"/>
  <c r="H285" i="1"/>
  <c r="G285" i="1"/>
  <c r="I284" i="1"/>
  <c r="H284" i="1"/>
  <c r="G284" i="1"/>
  <c r="I283" i="1"/>
  <c r="C96" i="2" s="1" a="1"/>
  <c r="C96" i="2" s="1"/>
  <c r="H283" i="1"/>
  <c r="G283" i="1"/>
  <c r="I282" i="1"/>
  <c r="H282" i="1"/>
  <c r="G282" i="1"/>
  <c r="I281" i="1"/>
  <c r="H281" i="1"/>
  <c r="G281" i="1"/>
  <c r="I280" i="1"/>
  <c r="H280" i="1"/>
  <c r="G280" i="1"/>
  <c r="I279" i="1"/>
  <c r="H279" i="1"/>
  <c r="G279" i="1"/>
  <c r="I278" i="1"/>
  <c r="H278" i="1"/>
  <c r="G278" i="1"/>
  <c r="I277" i="1"/>
  <c r="H277" i="1"/>
  <c r="G277" i="1"/>
  <c r="I276" i="1"/>
  <c r="H276" i="1"/>
  <c r="G276" i="1"/>
  <c r="I275" i="1"/>
  <c r="H275" i="1"/>
  <c r="G275" i="1"/>
  <c r="I274" i="1"/>
  <c r="H274" i="1"/>
  <c r="G274" i="1"/>
  <c r="I273" i="1"/>
  <c r="H273" i="1"/>
  <c r="G273" i="1"/>
  <c r="I272" i="1"/>
  <c r="H272" i="1"/>
  <c r="G272" i="1"/>
  <c r="I271" i="1"/>
  <c r="H271" i="1"/>
  <c r="G271" i="1"/>
  <c r="I270" i="1"/>
  <c r="H270" i="1"/>
  <c r="G270" i="1"/>
  <c r="I269" i="1"/>
  <c r="H269" i="1"/>
  <c r="G269" i="1"/>
  <c r="I268" i="1"/>
  <c r="C91" i="2" s="1" a="1"/>
  <c r="C91" i="2" s="1"/>
  <c r="H268" i="1"/>
  <c r="G268" i="1"/>
  <c r="I267" i="1"/>
  <c r="H267" i="1"/>
  <c r="G267" i="1"/>
  <c r="I266" i="1"/>
  <c r="H266" i="1"/>
  <c r="G266" i="1"/>
  <c r="I265" i="1"/>
  <c r="C90" i="2" s="1" a="1"/>
  <c r="C90" i="2" s="1"/>
  <c r="H265" i="1"/>
  <c r="G265" i="1"/>
  <c r="I264" i="1"/>
  <c r="H264" i="1"/>
  <c r="G264" i="1"/>
  <c r="I263" i="1"/>
  <c r="H263" i="1"/>
  <c r="G263" i="1"/>
  <c r="I262" i="1"/>
  <c r="H262" i="1"/>
  <c r="G262" i="1"/>
  <c r="I261" i="1"/>
  <c r="H261" i="1"/>
  <c r="G261" i="1"/>
  <c r="I260" i="1"/>
  <c r="H260" i="1"/>
  <c r="G260" i="1"/>
  <c r="I259" i="1"/>
  <c r="C88" i="2" s="1" a="1"/>
  <c r="C88" i="2" s="1"/>
  <c r="H259" i="1"/>
  <c r="G259" i="1"/>
  <c r="I258" i="1"/>
  <c r="H258" i="1"/>
  <c r="G258" i="1"/>
  <c r="I257" i="1"/>
  <c r="H257" i="1"/>
  <c r="G257" i="1"/>
  <c r="I256" i="1"/>
  <c r="H256" i="1"/>
  <c r="G256" i="1"/>
  <c r="I255" i="1"/>
  <c r="H255" i="1"/>
  <c r="G255" i="1"/>
  <c r="I254" i="1"/>
  <c r="H254" i="1"/>
  <c r="G254" i="1"/>
  <c r="I253" i="1"/>
  <c r="H253" i="1"/>
  <c r="G253" i="1"/>
  <c r="I252" i="1"/>
  <c r="H252" i="1"/>
  <c r="G252" i="1"/>
  <c r="I251" i="1"/>
  <c r="H251" i="1"/>
  <c r="G251" i="1"/>
  <c r="I250" i="1"/>
  <c r="H250" i="1"/>
  <c r="G250" i="1"/>
  <c r="I249" i="1"/>
  <c r="H249" i="1"/>
  <c r="G249" i="1"/>
  <c r="I248" i="1"/>
  <c r="H248" i="1"/>
  <c r="G248" i="1"/>
  <c r="I247" i="1"/>
  <c r="H247" i="1"/>
  <c r="G247" i="1"/>
  <c r="I246" i="1"/>
  <c r="H246" i="1"/>
  <c r="G246" i="1"/>
  <c r="I245" i="1"/>
  <c r="H245" i="1"/>
  <c r="G245" i="1"/>
  <c r="I244" i="1"/>
  <c r="C83" i="2" s="1" a="1"/>
  <c r="C83" i="2" s="1"/>
  <c r="H244" i="1"/>
  <c r="G244" i="1"/>
  <c r="I243" i="1"/>
  <c r="H243" i="1"/>
  <c r="G243" i="1"/>
  <c r="I242" i="1"/>
  <c r="H242" i="1"/>
  <c r="G242" i="1"/>
  <c r="I241" i="1"/>
  <c r="C82" i="2" s="1" a="1"/>
  <c r="C82" i="2" s="1"/>
  <c r="H241" i="1"/>
  <c r="G241" i="1"/>
  <c r="I240" i="1"/>
  <c r="H240" i="1"/>
  <c r="G240" i="1"/>
  <c r="I239" i="1"/>
  <c r="H239" i="1"/>
  <c r="G239" i="1"/>
  <c r="I238" i="1"/>
  <c r="H238" i="1"/>
  <c r="G238" i="1"/>
  <c r="I237" i="1"/>
  <c r="H237" i="1"/>
  <c r="G237" i="1"/>
  <c r="I236" i="1"/>
  <c r="H236" i="1"/>
  <c r="G236" i="1"/>
  <c r="I235" i="1"/>
  <c r="C80" i="2" s="1" a="1"/>
  <c r="C80" i="2" s="1"/>
  <c r="H235" i="1"/>
  <c r="G235" i="1"/>
  <c r="I234" i="1"/>
  <c r="H234" i="1"/>
  <c r="G234" i="1"/>
  <c r="I233" i="1"/>
  <c r="H233" i="1"/>
  <c r="G233" i="1"/>
  <c r="I232" i="1"/>
  <c r="H232" i="1"/>
  <c r="G232" i="1"/>
  <c r="I231" i="1"/>
  <c r="H231" i="1"/>
  <c r="G231" i="1"/>
  <c r="I230" i="1"/>
  <c r="H230" i="1"/>
  <c r="G230" i="1"/>
  <c r="I229" i="1"/>
  <c r="H229" i="1"/>
  <c r="G229" i="1"/>
  <c r="I228" i="1"/>
  <c r="H228" i="1"/>
  <c r="G228" i="1"/>
  <c r="I227" i="1"/>
  <c r="H227" i="1"/>
  <c r="G227" i="1"/>
  <c r="I226" i="1"/>
  <c r="H226" i="1"/>
  <c r="G226" i="1"/>
  <c r="I225" i="1"/>
  <c r="H225" i="1"/>
  <c r="G225" i="1"/>
  <c r="I224" i="1"/>
  <c r="H224" i="1"/>
  <c r="G224" i="1"/>
  <c r="I223" i="1"/>
  <c r="H223" i="1"/>
  <c r="G223" i="1"/>
  <c r="I222" i="1"/>
  <c r="H222" i="1"/>
  <c r="G222" i="1"/>
  <c r="I221" i="1"/>
  <c r="H221" i="1"/>
  <c r="G221" i="1"/>
  <c r="I220" i="1"/>
  <c r="C75" i="2" s="1" a="1"/>
  <c r="C75" i="2" s="1"/>
  <c r="H220" i="1"/>
  <c r="G220" i="1"/>
  <c r="I219" i="1"/>
  <c r="H219" i="1"/>
  <c r="G219" i="1"/>
  <c r="I218" i="1"/>
  <c r="H218" i="1"/>
  <c r="G218" i="1"/>
  <c r="I217" i="1"/>
  <c r="C74" i="2" s="1" a="1"/>
  <c r="C74" i="2" s="1"/>
  <c r="H217" i="1"/>
  <c r="G217" i="1"/>
  <c r="I216" i="1"/>
  <c r="H216" i="1"/>
  <c r="G216" i="1"/>
  <c r="I215" i="1"/>
  <c r="H215" i="1"/>
  <c r="G215" i="1"/>
  <c r="I214" i="1"/>
  <c r="H214" i="1"/>
  <c r="G214" i="1"/>
  <c r="I213" i="1"/>
  <c r="H213" i="1"/>
  <c r="G213" i="1"/>
  <c r="I212" i="1"/>
  <c r="H212" i="1"/>
  <c r="G212" i="1"/>
  <c r="I211" i="1"/>
  <c r="C72" i="2" s="1" a="1"/>
  <c r="C72" i="2" s="1"/>
  <c r="H211" i="1"/>
  <c r="G211" i="1"/>
  <c r="I210" i="1"/>
  <c r="H210" i="1"/>
  <c r="G210" i="1"/>
  <c r="I209" i="1"/>
  <c r="H209" i="1"/>
  <c r="G209" i="1"/>
  <c r="I208" i="1"/>
  <c r="H208" i="1"/>
  <c r="G208" i="1"/>
  <c r="I207" i="1"/>
  <c r="H207" i="1"/>
  <c r="G207" i="1"/>
  <c r="I206" i="1"/>
  <c r="H206" i="1"/>
  <c r="G206" i="1"/>
  <c r="I205" i="1"/>
  <c r="H205" i="1"/>
  <c r="G205" i="1"/>
  <c r="I204" i="1"/>
  <c r="H204" i="1"/>
  <c r="G204" i="1"/>
  <c r="I203" i="1"/>
  <c r="H203" i="1"/>
  <c r="G203" i="1"/>
  <c r="I202" i="1"/>
  <c r="H202" i="1"/>
  <c r="G202" i="1"/>
  <c r="I201" i="1"/>
  <c r="H201" i="1"/>
  <c r="G201" i="1"/>
  <c r="I200" i="1"/>
  <c r="H200" i="1"/>
  <c r="G200" i="1"/>
  <c r="I199" i="1"/>
  <c r="H199" i="1"/>
  <c r="G199" i="1"/>
  <c r="I198" i="1"/>
  <c r="H198" i="1"/>
  <c r="G198" i="1"/>
  <c r="I197" i="1"/>
  <c r="H197" i="1"/>
  <c r="G197" i="1"/>
  <c r="I196" i="1"/>
  <c r="H196" i="1"/>
  <c r="G196" i="1"/>
  <c r="I195" i="1"/>
  <c r="H195" i="1"/>
  <c r="G195" i="1"/>
  <c r="I194" i="1"/>
  <c r="H194" i="1"/>
  <c r="G194" i="1"/>
  <c r="I193" i="1"/>
  <c r="C66" i="2" s="1" a="1"/>
  <c r="C66" i="2" s="1"/>
  <c r="H193" i="1"/>
  <c r="G193" i="1"/>
  <c r="I192" i="1"/>
  <c r="H192" i="1"/>
  <c r="G192" i="1"/>
  <c r="I191" i="1"/>
  <c r="H191" i="1"/>
  <c r="G191" i="1"/>
  <c r="I190" i="1"/>
  <c r="H190" i="1"/>
  <c r="G190" i="1"/>
  <c r="I189" i="1"/>
  <c r="H189" i="1"/>
  <c r="G189" i="1"/>
  <c r="I188" i="1"/>
  <c r="H188" i="1"/>
  <c r="G188" i="1"/>
  <c r="I187" i="1"/>
  <c r="C64" i="2" s="1" a="1"/>
  <c r="C64" i="2" s="1"/>
  <c r="H187" i="1"/>
  <c r="G187" i="1"/>
  <c r="I186" i="1"/>
  <c r="H186" i="1"/>
  <c r="G186" i="1"/>
  <c r="I185" i="1"/>
  <c r="H185" i="1"/>
  <c r="G185" i="1"/>
  <c r="I184" i="1"/>
  <c r="H184" i="1"/>
  <c r="G184" i="1"/>
  <c r="I183" i="1"/>
  <c r="H183" i="1"/>
  <c r="G183" i="1"/>
  <c r="I182" i="1"/>
  <c r="H182" i="1"/>
  <c r="G182" i="1"/>
  <c r="I181" i="1"/>
  <c r="H181" i="1"/>
  <c r="G181" i="1"/>
  <c r="I180" i="1"/>
  <c r="H180" i="1"/>
  <c r="G180" i="1"/>
  <c r="I179" i="1"/>
  <c r="H179" i="1"/>
  <c r="G179" i="1"/>
  <c r="I178" i="1"/>
  <c r="H178" i="1"/>
  <c r="G178" i="1"/>
  <c r="I177" i="1"/>
  <c r="H177" i="1"/>
  <c r="G177" i="1"/>
  <c r="I176" i="1"/>
  <c r="H176" i="1"/>
  <c r="G176" i="1"/>
  <c r="I175" i="1"/>
  <c r="H175" i="1"/>
  <c r="G175" i="1"/>
  <c r="I174" i="1"/>
  <c r="H174" i="1"/>
  <c r="G174" i="1"/>
  <c r="I173" i="1"/>
  <c r="H173" i="1"/>
  <c r="G173" i="1"/>
  <c r="I172" i="1"/>
  <c r="C59" i="2" s="1" a="1"/>
  <c r="C59" i="2" s="1"/>
  <c r="H172" i="1"/>
  <c r="G172" i="1"/>
  <c r="I171" i="1"/>
  <c r="H171" i="1"/>
  <c r="G171" i="1"/>
  <c r="I170" i="1"/>
  <c r="H170" i="1"/>
  <c r="G170" i="1"/>
  <c r="I169" i="1"/>
  <c r="C58" i="2" s="1" a="1"/>
  <c r="C58" i="2" s="1"/>
  <c r="H169" i="1"/>
  <c r="G169" i="1"/>
  <c r="I168" i="1"/>
  <c r="H168" i="1"/>
  <c r="G168" i="1"/>
  <c r="I167" i="1"/>
  <c r="H167" i="1"/>
  <c r="G167" i="1"/>
  <c r="I166" i="1"/>
  <c r="H166" i="1"/>
  <c r="G166" i="1"/>
  <c r="I165" i="1"/>
  <c r="H165" i="1"/>
  <c r="G165" i="1"/>
  <c r="I164" i="1"/>
  <c r="H164" i="1"/>
  <c r="G164" i="1"/>
  <c r="I163" i="1"/>
  <c r="C56" i="2" s="1" a="1"/>
  <c r="C56" i="2" s="1"/>
  <c r="H163" i="1"/>
  <c r="G163" i="1"/>
  <c r="I162" i="1"/>
  <c r="H162" i="1"/>
  <c r="G162" i="1"/>
  <c r="I161" i="1"/>
  <c r="H161" i="1"/>
  <c r="G161" i="1"/>
  <c r="I160" i="1"/>
  <c r="H160" i="1"/>
  <c r="G160" i="1"/>
  <c r="I159" i="1"/>
  <c r="H159" i="1"/>
  <c r="G159" i="1"/>
  <c r="I158" i="1"/>
  <c r="H158" i="1"/>
  <c r="G158" i="1"/>
  <c r="I157" i="1"/>
  <c r="H157" i="1"/>
  <c r="G157" i="1"/>
  <c r="I156" i="1"/>
  <c r="H156" i="1"/>
  <c r="G156" i="1"/>
  <c r="I155" i="1"/>
  <c r="H155" i="1"/>
  <c r="G155" i="1"/>
  <c r="I154" i="1"/>
  <c r="H154" i="1"/>
  <c r="G154" i="1"/>
  <c r="I153" i="1"/>
  <c r="H153" i="1"/>
  <c r="G153" i="1"/>
  <c r="I152" i="1"/>
  <c r="H152" i="1"/>
  <c r="G152" i="1"/>
  <c r="I151" i="1"/>
  <c r="H151" i="1"/>
  <c r="G151" i="1"/>
  <c r="I150" i="1"/>
  <c r="H150" i="1"/>
  <c r="G150" i="1"/>
  <c r="I149" i="1"/>
  <c r="H149" i="1"/>
  <c r="G149" i="1"/>
  <c r="I148" i="1"/>
  <c r="H148" i="1"/>
  <c r="G148" i="1"/>
  <c r="I147" i="1"/>
  <c r="H147" i="1"/>
  <c r="G147" i="1"/>
  <c r="I146" i="1"/>
  <c r="H146" i="1"/>
  <c r="G146" i="1"/>
  <c r="I145" i="1"/>
  <c r="C50" i="2" s="1" a="1"/>
  <c r="C50" i="2" s="1"/>
  <c r="H145" i="1"/>
  <c r="G145" i="1"/>
  <c r="I144" i="1"/>
  <c r="H144" i="1"/>
  <c r="G144" i="1"/>
  <c r="I143" i="1"/>
  <c r="H143" i="1"/>
  <c r="G143" i="1"/>
  <c r="I142" i="1"/>
  <c r="H142" i="1"/>
  <c r="G142" i="1"/>
  <c r="I141" i="1"/>
  <c r="H141" i="1"/>
  <c r="G141" i="1"/>
  <c r="I140" i="1"/>
  <c r="H140" i="1"/>
  <c r="G140" i="1"/>
  <c r="I139" i="1"/>
  <c r="C48" i="2" s="1" a="1"/>
  <c r="C48" i="2" s="1"/>
  <c r="H139" i="1"/>
  <c r="G139" i="1"/>
  <c r="I138" i="1"/>
  <c r="H138" i="1"/>
  <c r="G138" i="1"/>
  <c r="I137" i="1"/>
  <c r="H137" i="1"/>
  <c r="G137" i="1"/>
  <c r="I136" i="1"/>
  <c r="H136" i="1"/>
  <c r="G136" i="1"/>
  <c r="I135" i="1"/>
  <c r="H135" i="1"/>
  <c r="G135" i="1"/>
  <c r="I134" i="1"/>
  <c r="H134" i="1"/>
  <c r="G134" i="1"/>
  <c r="I133" i="1"/>
  <c r="H133" i="1"/>
  <c r="G133" i="1"/>
  <c r="I132" i="1"/>
  <c r="H132" i="1"/>
  <c r="G132" i="1"/>
  <c r="I131" i="1"/>
  <c r="H131" i="1"/>
  <c r="G131" i="1"/>
  <c r="I130" i="1"/>
  <c r="H130" i="1"/>
  <c r="G130" i="1"/>
  <c r="I129" i="1"/>
  <c r="H129" i="1"/>
  <c r="G129" i="1"/>
  <c r="I128" i="1"/>
  <c r="H128" i="1"/>
  <c r="G128" i="1"/>
  <c r="I127" i="1"/>
  <c r="H127" i="1"/>
  <c r="G127" i="1"/>
  <c r="I126" i="1"/>
  <c r="H126" i="1"/>
  <c r="G126" i="1"/>
  <c r="I125" i="1"/>
  <c r="H125" i="1"/>
  <c r="G125" i="1"/>
  <c r="I124" i="1"/>
  <c r="H124" i="1"/>
  <c r="G124" i="1"/>
  <c r="I123" i="1"/>
  <c r="H123" i="1"/>
  <c r="G123" i="1"/>
  <c r="I122" i="1"/>
  <c r="H122" i="1"/>
  <c r="G122" i="1"/>
  <c r="I121" i="1"/>
  <c r="C42" i="2" s="1" a="1"/>
  <c r="C42" i="2" s="1"/>
  <c r="H121" i="1"/>
  <c r="G121" i="1"/>
  <c r="I120" i="1"/>
  <c r="H120" i="1"/>
  <c r="G120" i="1"/>
  <c r="I119" i="1"/>
  <c r="H119" i="1"/>
  <c r="G119" i="1"/>
  <c r="I118" i="1"/>
  <c r="H118" i="1"/>
  <c r="G118" i="1"/>
  <c r="I117" i="1"/>
  <c r="H117" i="1"/>
  <c r="G117" i="1"/>
  <c r="I116" i="1"/>
  <c r="H116" i="1"/>
  <c r="G116" i="1"/>
  <c r="I115" i="1"/>
  <c r="C40" i="2" s="1" a="1"/>
  <c r="C40" i="2" s="1"/>
  <c r="H115" i="1"/>
  <c r="G115" i="1"/>
  <c r="I114" i="1"/>
  <c r="H114" i="1"/>
  <c r="G114" i="1"/>
  <c r="I113" i="1"/>
  <c r="H113" i="1"/>
  <c r="G113" i="1"/>
  <c r="I112" i="1"/>
  <c r="H112" i="1"/>
  <c r="G112" i="1"/>
  <c r="I111" i="1"/>
  <c r="H111" i="1"/>
  <c r="G111" i="1"/>
  <c r="I110" i="1"/>
  <c r="H110" i="1"/>
  <c r="G110" i="1"/>
  <c r="I109" i="1"/>
  <c r="H109" i="1"/>
  <c r="G109" i="1"/>
  <c r="I108" i="1"/>
  <c r="H108" i="1"/>
  <c r="G108" i="1"/>
  <c r="I107" i="1"/>
  <c r="H107" i="1"/>
  <c r="G107" i="1"/>
  <c r="I106" i="1"/>
  <c r="H106" i="1"/>
  <c r="G106" i="1"/>
  <c r="I105" i="1"/>
  <c r="H105" i="1"/>
  <c r="G105" i="1"/>
  <c r="I104" i="1"/>
  <c r="H104" i="1"/>
  <c r="G104" i="1"/>
  <c r="I103" i="1"/>
  <c r="H103" i="1"/>
  <c r="G103" i="1"/>
  <c r="I102" i="1"/>
  <c r="H102" i="1"/>
  <c r="G102" i="1"/>
  <c r="I101" i="1"/>
  <c r="H101" i="1"/>
  <c r="G101" i="1"/>
  <c r="I100" i="1"/>
  <c r="H100" i="1"/>
  <c r="G100" i="1"/>
  <c r="I99" i="1"/>
  <c r="H99" i="1"/>
  <c r="G99" i="1"/>
  <c r="I98" i="1"/>
  <c r="H98" i="1"/>
  <c r="G98" i="1"/>
  <c r="I97" i="1"/>
  <c r="C34" i="2" s="1" a="1"/>
  <c r="C34" i="2" s="1"/>
  <c r="H97" i="1"/>
  <c r="G97" i="1"/>
  <c r="I96" i="1"/>
  <c r="H96" i="1"/>
  <c r="G96" i="1"/>
  <c r="I95" i="1"/>
  <c r="H95" i="1"/>
  <c r="G95" i="1"/>
  <c r="I94" i="1"/>
  <c r="H94" i="1"/>
  <c r="G94" i="1"/>
  <c r="I93" i="1"/>
  <c r="H93" i="1"/>
  <c r="G93" i="1"/>
  <c r="I92" i="1"/>
  <c r="H92" i="1"/>
  <c r="G92" i="1"/>
  <c r="I91" i="1"/>
  <c r="C32" i="2" s="1" a="1"/>
  <c r="C32" i="2" s="1"/>
  <c r="H91" i="1"/>
  <c r="G91" i="1"/>
  <c r="I90" i="1"/>
  <c r="H90" i="1"/>
  <c r="G90" i="1"/>
  <c r="I89" i="1"/>
  <c r="H89" i="1"/>
  <c r="G89" i="1"/>
  <c r="I88" i="1"/>
  <c r="H88" i="1"/>
  <c r="G88" i="1"/>
  <c r="I87" i="1"/>
  <c r="H87" i="1"/>
  <c r="G87" i="1"/>
  <c r="I86" i="1"/>
  <c r="H86" i="1"/>
  <c r="G86" i="1"/>
  <c r="I85" i="1"/>
  <c r="H85" i="1"/>
  <c r="G85" i="1"/>
  <c r="I84" i="1"/>
  <c r="H84" i="1"/>
  <c r="G84" i="1"/>
  <c r="I83" i="1"/>
  <c r="H83" i="1"/>
  <c r="G83" i="1"/>
  <c r="I82" i="1"/>
  <c r="H82" i="1"/>
  <c r="G82" i="1"/>
  <c r="I81" i="1"/>
  <c r="H81" i="1"/>
  <c r="G81" i="1"/>
  <c r="I80" i="1"/>
  <c r="H80" i="1"/>
  <c r="G80" i="1"/>
  <c r="I79" i="1"/>
  <c r="H79" i="1"/>
  <c r="G79" i="1"/>
  <c r="I78" i="1"/>
  <c r="H78" i="1"/>
  <c r="G78" i="1"/>
  <c r="I77" i="1"/>
  <c r="H77" i="1"/>
  <c r="G77" i="1"/>
  <c r="I76" i="1"/>
  <c r="H76" i="1"/>
  <c r="G76" i="1"/>
  <c r="I75" i="1"/>
  <c r="H75" i="1"/>
  <c r="G75" i="1"/>
  <c r="I74" i="1"/>
  <c r="H74" i="1"/>
  <c r="G74" i="1"/>
  <c r="I73" i="1"/>
  <c r="C26" i="2" s="1" a="1"/>
  <c r="C26" i="2" s="1"/>
  <c r="H73" i="1"/>
  <c r="G73" i="1"/>
  <c r="I72" i="1"/>
  <c r="H72" i="1"/>
  <c r="G72" i="1"/>
  <c r="I71" i="1"/>
  <c r="H71" i="1"/>
  <c r="G71" i="1"/>
  <c r="I70" i="1"/>
  <c r="H70" i="1"/>
  <c r="G70" i="1"/>
  <c r="I69" i="1"/>
  <c r="H69" i="1"/>
  <c r="G69" i="1"/>
  <c r="I68" i="1"/>
  <c r="H68" i="1"/>
  <c r="G68" i="1"/>
  <c r="I67" i="1"/>
  <c r="C24" i="2" s="1" a="1"/>
  <c r="C24" i="2" s="1"/>
  <c r="H67" i="1"/>
  <c r="G67" i="1"/>
  <c r="I66" i="1"/>
  <c r="H66" i="1"/>
  <c r="G66" i="1"/>
  <c r="I65" i="1"/>
  <c r="H65" i="1"/>
  <c r="G65" i="1"/>
  <c r="I64" i="1"/>
  <c r="H64" i="1"/>
  <c r="G64" i="1"/>
  <c r="I63" i="1"/>
  <c r="H63" i="1"/>
  <c r="G63" i="1"/>
  <c r="I62" i="1"/>
  <c r="H62" i="1"/>
  <c r="G62" i="1"/>
  <c r="I61" i="1"/>
  <c r="H61" i="1"/>
  <c r="G61" i="1"/>
  <c r="I60" i="1"/>
  <c r="H60" i="1"/>
  <c r="G60" i="1"/>
  <c r="I59" i="1"/>
  <c r="H59" i="1"/>
  <c r="G59" i="1"/>
  <c r="I58" i="1"/>
  <c r="H58" i="1"/>
  <c r="G58" i="1"/>
  <c r="I57" i="1"/>
  <c r="H57" i="1"/>
  <c r="G57" i="1"/>
  <c r="I56" i="1"/>
  <c r="H56" i="1"/>
  <c r="G56" i="1"/>
  <c r="I55" i="1"/>
  <c r="H55" i="1"/>
  <c r="G55" i="1"/>
  <c r="I54" i="1"/>
  <c r="H54" i="1"/>
  <c r="G54" i="1"/>
  <c r="I53" i="1"/>
  <c r="H53" i="1"/>
  <c r="G53" i="1"/>
  <c r="I52" i="1"/>
  <c r="H52" i="1"/>
  <c r="G52" i="1"/>
  <c r="I51" i="1"/>
  <c r="H51" i="1"/>
  <c r="G51" i="1"/>
  <c r="I50" i="1"/>
  <c r="H50" i="1"/>
  <c r="G50" i="1"/>
  <c r="I49" i="1"/>
  <c r="C18" i="2" s="1" a="1"/>
  <c r="C18" i="2" s="1"/>
  <c r="H49" i="1"/>
  <c r="G49" i="1"/>
  <c r="I48" i="1"/>
  <c r="H48" i="1"/>
  <c r="G48" i="1"/>
  <c r="I47" i="1"/>
  <c r="H47" i="1"/>
  <c r="G47" i="1"/>
  <c r="I46" i="1"/>
  <c r="H46" i="1"/>
  <c r="G46" i="1"/>
  <c r="I45" i="1"/>
  <c r="H45" i="1"/>
  <c r="G45" i="1"/>
  <c r="I44" i="1"/>
  <c r="H44" i="1"/>
  <c r="G44" i="1"/>
  <c r="I43" i="1"/>
  <c r="C16" i="2" s="1" a="1"/>
  <c r="C16" i="2" s="1"/>
  <c r="H43" i="1"/>
  <c r="G43" i="1"/>
  <c r="I42" i="1"/>
  <c r="H42" i="1"/>
  <c r="G42" i="1"/>
  <c r="I41" i="1"/>
  <c r="H41" i="1"/>
  <c r="G41" i="1"/>
  <c r="I40" i="1"/>
  <c r="H40" i="1"/>
  <c r="G40" i="1"/>
  <c r="I39" i="1"/>
  <c r="H39" i="1"/>
  <c r="G39" i="1"/>
  <c r="I38" i="1"/>
  <c r="H38" i="1"/>
  <c r="G38" i="1"/>
  <c r="I37" i="1"/>
  <c r="H37" i="1"/>
  <c r="G37" i="1"/>
  <c r="I36" i="1"/>
  <c r="H36" i="1"/>
  <c r="G36" i="1"/>
  <c r="I35" i="1"/>
  <c r="H35" i="1"/>
  <c r="G35" i="1"/>
  <c r="I34" i="1"/>
  <c r="H34" i="1"/>
  <c r="G34" i="1"/>
  <c r="I33" i="1"/>
  <c r="H33" i="1"/>
  <c r="G33" i="1"/>
  <c r="I32" i="1"/>
  <c r="H32" i="1"/>
  <c r="G32" i="1"/>
  <c r="I31" i="1"/>
  <c r="H31" i="1"/>
  <c r="G31" i="1"/>
  <c r="I30" i="1"/>
  <c r="H30" i="1"/>
  <c r="G30" i="1"/>
  <c r="I29" i="1"/>
  <c r="H29" i="1"/>
  <c r="G29" i="1"/>
  <c r="I28" i="1"/>
  <c r="C11" i="2" s="1" a="1"/>
  <c r="C11" i="2" s="1"/>
  <c r="H28" i="1"/>
  <c r="G28" i="1"/>
  <c r="I27" i="1"/>
  <c r="H27" i="1"/>
  <c r="G27" i="1"/>
  <c r="I26" i="1"/>
  <c r="H26" i="1"/>
  <c r="G26" i="1"/>
  <c r="I25" i="1"/>
  <c r="C10" i="2" s="1" a="1"/>
  <c r="C10" i="2" s="1"/>
  <c r="H25" i="1"/>
  <c r="G25" i="1"/>
  <c r="I24" i="1"/>
  <c r="H24" i="1"/>
  <c r="G24" i="1"/>
  <c r="I23" i="1"/>
  <c r="H23" i="1"/>
  <c r="G23" i="1"/>
  <c r="I22" i="1"/>
  <c r="H22" i="1"/>
  <c r="G22" i="1"/>
  <c r="I21" i="1"/>
  <c r="H21" i="1"/>
  <c r="G21" i="1"/>
  <c r="I20" i="1"/>
  <c r="H20" i="1"/>
  <c r="G20" i="1"/>
  <c r="I19" i="1"/>
  <c r="H19" i="1"/>
  <c r="G19" i="1"/>
  <c r="I18" i="1"/>
  <c r="H18" i="1"/>
  <c r="G18" i="1"/>
  <c r="I17" i="1"/>
  <c r="H17" i="1"/>
  <c r="G17" i="1"/>
  <c r="I16" i="1"/>
  <c r="H16" i="1"/>
  <c r="G16" i="1"/>
  <c r="I15" i="1"/>
  <c r="H15" i="1"/>
  <c r="G15" i="1"/>
  <c r="I14" i="1"/>
  <c r="H14" i="1"/>
  <c r="G14" i="1"/>
  <c r="I13" i="1"/>
  <c r="H13" i="1"/>
  <c r="G13" i="1"/>
  <c r="I12" i="1"/>
  <c r="H12" i="1"/>
  <c r="G12" i="1"/>
  <c r="I11" i="1"/>
  <c r="H11" i="1"/>
  <c r="G11" i="1"/>
  <c r="I10" i="1"/>
  <c r="H10" i="1"/>
  <c r="G10" i="1"/>
  <c r="I9" i="1"/>
  <c r="H9" i="1"/>
  <c r="G9" i="1"/>
  <c r="I8" i="1"/>
  <c r="H8" i="1"/>
  <c r="G8" i="1"/>
  <c r="I7" i="1"/>
  <c r="H7" i="1"/>
  <c r="G7" i="1"/>
  <c r="I6" i="1"/>
  <c r="H6" i="1"/>
  <c r="G6" i="1"/>
  <c r="I5" i="1"/>
  <c r="H5" i="1"/>
  <c r="G5" i="1"/>
  <c r="I4" i="1"/>
  <c r="H4" i="1"/>
  <c r="G4" i="1"/>
  <c r="I3" i="1"/>
  <c r="H3" i="1"/>
  <c r="G3" i="1"/>
  <c r="I2" i="1"/>
  <c r="H2" i="1"/>
  <c r="G2" i="1"/>
  <c r="F2" i="1"/>
  <c r="I1" i="1"/>
  <c r="C2" i="2" s="1" a="1"/>
  <c r="C2" i="2" s="1"/>
  <c r="B1" i="2" l="1" a="1"/>
  <c r="B1" i="2" s="1"/>
  <c r="A1" i="2" a="1"/>
  <c r="A1" i="2" s="1"/>
  <c r="C6" i="2" a="1"/>
  <c r="C6" i="2" s="1"/>
  <c r="C46" i="2" a="1"/>
  <c r="C46" i="2" s="1"/>
  <c r="C54" i="2" a="1"/>
  <c r="C54" i="2" s="1"/>
  <c r="C62" i="2" a="1"/>
  <c r="C62" i="2" s="1"/>
  <c r="C70" i="2" a="1"/>
  <c r="C70" i="2" s="1"/>
  <c r="C78" i="2" a="1"/>
  <c r="C78" i="2" s="1"/>
  <c r="C86" i="2" a="1"/>
  <c r="C86" i="2" s="1"/>
  <c r="C94" i="2" a="1"/>
  <c r="C94" i="2" s="1"/>
  <c r="C102" i="2" a="1"/>
  <c r="C102" i="2" s="1"/>
  <c r="C110" i="2" a="1"/>
  <c r="C110" i="2" s="1"/>
  <c r="C9" i="2" a="1"/>
  <c r="C9" i="2" s="1"/>
  <c r="C105" i="2" a="1"/>
  <c r="C105" i="2" s="1"/>
  <c r="C113" i="2" a="1"/>
  <c r="C113" i="2" s="1"/>
  <c r="C1" i="2" a="1"/>
  <c r="C1" i="2" s="1"/>
  <c r="A8" i="2" a="1"/>
  <c r="A8" i="2" s="1"/>
  <c r="A10" i="2" a="1"/>
  <c r="A10" i="2" s="1"/>
  <c r="C28" i="2" a="1"/>
  <c r="C28" i="2" s="1"/>
  <c r="C36" i="2" a="1"/>
  <c r="C36" i="2" s="1"/>
  <c r="C44" i="2" a="1"/>
  <c r="C44" i="2" s="1"/>
  <c r="C52" i="2" a="1"/>
  <c r="C52" i="2" s="1"/>
  <c r="C60" i="2" a="1"/>
  <c r="C60" i="2" s="1"/>
  <c r="C68" i="2" a="1"/>
  <c r="C68" i="2" s="1"/>
  <c r="C13" i="2" a="1"/>
  <c r="C13" i="2" s="1"/>
  <c r="C21" i="2" a="1"/>
  <c r="C21" i="2" s="1"/>
  <c r="C29" i="2" a="1"/>
  <c r="C29" i="2" s="1"/>
  <c r="C14" i="2" a="1"/>
  <c r="C14" i="2" s="1"/>
  <c r="B15" i="2" a="1"/>
  <c r="B15" i="2" s="1"/>
  <c r="C22" i="2" a="1"/>
  <c r="C22" i="2" s="1"/>
  <c r="B23" i="2" a="1"/>
  <c r="B23" i="2" s="1"/>
  <c r="C30" i="2" a="1"/>
  <c r="C30" i="2" s="1"/>
  <c r="A32" i="2" a="1"/>
  <c r="A32" i="2" s="1"/>
  <c r="C38" i="2" a="1"/>
  <c r="C38" i="2" s="1"/>
  <c r="B47" i="2" a="1"/>
  <c r="B47" i="2" s="1"/>
  <c r="A64" i="2" a="1"/>
  <c r="A64" i="2" s="1"/>
  <c r="B79" i="2" a="1"/>
  <c r="B79" i="2" s="1"/>
  <c r="A96" i="2" a="1"/>
  <c r="A96" i="2" s="1"/>
  <c r="B111" i="2" a="1"/>
  <c r="B111" i="2" s="1"/>
  <c r="B7" i="2" a="1"/>
  <c r="B7" i="2" s="1"/>
  <c r="C7" i="2" a="1"/>
  <c r="C7" i="2" s="1"/>
  <c r="B8" i="2" a="1"/>
  <c r="B8" i="2" s="1"/>
  <c r="A9" i="2" a="1"/>
  <c r="A9" i="2" s="1"/>
  <c r="C15" i="2" a="1"/>
  <c r="C15" i="2" s="1"/>
  <c r="A17" i="2" a="1"/>
  <c r="A17" i="2" s="1"/>
  <c r="C23" i="2" a="1"/>
  <c r="C23" i="2" s="1"/>
  <c r="A25" i="2" a="1"/>
  <c r="A25" i="2" s="1"/>
  <c r="C31" i="2" a="1"/>
  <c r="C31" i="2" s="1"/>
  <c r="B32" i="2" a="1"/>
  <c r="B32" i="2" s="1"/>
  <c r="A33" i="2" a="1"/>
  <c r="A33" i="2" s="1"/>
  <c r="C39" i="2" a="1"/>
  <c r="C39" i="2" s="1"/>
  <c r="B40" i="2" a="1"/>
  <c r="B40" i="2" s="1"/>
  <c r="A41" i="2" a="1"/>
  <c r="A41" i="2" s="1"/>
  <c r="C47" i="2" a="1"/>
  <c r="C47" i="2" s="1"/>
  <c r="B48" i="2" a="1"/>
  <c r="B48" i="2" s="1"/>
  <c r="A49" i="2" a="1"/>
  <c r="A49" i="2" s="1"/>
  <c r="C55" i="2" a="1"/>
  <c r="C55" i="2" s="1"/>
  <c r="B56" i="2" a="1"/>
  <c r="B56" i="2" s="1"/>
  <c r="C63" i="2" a="1"/>
  <c r="C63" i="2" s="1"/>
  <c r="B64" i="2" a="1"/>
  <c r="B64" i="2" s="1"/>
  <c r="A65" i="2" a="1"/>
  <c r="A65" i="2" s="1"/>
  <c r="C71" i="2" a="1"/>
  <c r="C71" i="2" s="1"/>
  <c r="A73" i="2" a="1"/>
  <c r="A73" i="2" s="1"/>
  <c r="C79" i="2" a="1"/>
  <c r="C79" i="2" s="1"/>
  <c r="B80" i="2" a="1"/>
  <c r="B80" i="2" s="1"/>
  <c r="A81" i="2" a="1"/>
  <c r="A81" i="2" s="1"/>
  <c r="C87" i="2" a="1"/>
  <c r="C87" i="2" s="1"/>
  <c r="B88" i="2" a="1"/>
  <c r="B88" i="2" s="1"/>
  <c r="C95" i="2" a="1"/>
  <c r="C95" i="2" s="1"/>
  <c r="B96" i="2" a="1"/>
  <c r="B96" i="2" s="1"/>
  <c r="A97" i="2" a="1"/>
  <c r="A97" i="2" s="1"/>
  <c r="C103" i="2" a="1"/>
  <c r="C103" i="2" s="1"/>
  <c r="A105" i="2" a="1"/>
  <c r="A105" i="2" s="1"/>
  <c r="C111" i="2" a="1"/>
  <c r="C111" i="2" s="1"/>
  <c r="B112" i="2" a="1"/>
  <c r="B112" i="2" s="1"/>
  <c r="A113" i="2" a="1"/>
  <c r="A113" i="2" s="1"/>
  <c r="B57" i="2" a="1"/>
  <c r="B57" i="2" s="1"/>
  <c r="A58" i="2" a="1"/>
  <c r="A58" i="2" s="1"/>
  <c r="B65" i="2" a="1"/>
  <c r="B65" i="2" s="1"/>
  <c r="B73" i="2" a="1"/>
  <c r="B73" i="2" s="1"/>
  <c r="B89" i="2" a="1"/>
  <c r="B89" i="2" s="1"/>
  <c r="A90" i="2" a="1"/>
  <c r="A90" i="2" s="1"/>
  <c r="B97" i="2" a="1"/>
  <c r="B97" i="2" s="1"/>
  <c r="B105" i="2" a="1"/>
  <c r="B105" i="2" s="1"/>
  <c r="B10" i="2" a="1"/>
  <c r="B10" i="2" s="1"/>
  <c r="A11" i="2" a="1"/>
  <c r="A11" i="2" s="1"/>
  <c r="C17" i="2" a="1"/>
  <c r="C17" i="2" s="1"/>
  <c r="B18" i="2" a="1"/>
  <c r="B18" i="2" s="1"/>
  <c r="C25" i="2" a="1"/>
  <c r="C25" i="2" s="1"/>
  <c r="B26" i="2" a="1"/>
  <c r="B26" i="2" s="1"/>
  <c r="C33" i="2" a="1"/>
  <c r="C33" i="2" s="1"/>
  <c r="A35" i="2" a="1"/>
  <c r="A35" i="2" s="1"/>
  <c r="C41" i="2" a="1"/>
  <c r="C41" i="2" s="1"/>
  <c r="A43" i="2" a="1"/>
  <c r="A43" i="2" s="1"/>
  <c r="C49" i="2" a="1"/>
  <c r="C49" i="2" s="1"/>
  <c r="B50" i="2" a="1"/>
  <c r="B50" i="2" s="1"/>
  <c r="C57" i="2" a="1"/>
  <c r="C57" i="2" s="1"/>
  <c r="A59" i="2" a="1"/>
  <c r="A59" i="2" s="1"/>
  <c r="C65" i="2" a="1"/>
  <c r="C65" i="2" s="1"/>
  <c r="A67" i="2" a="1"/>
  <c r="A67" i="2" s="1"/>
  <c r="C73" i="2" a="1"/>
  <c r="C73" i="2" s="1"/>
  <c r="A75" i="2" a="1"/>
  <c r="A75" i="2" s="1"/>
  <c r="C81" i="2" a="1"/>
  <c r="C81" i="2" s="1"/>
  <c r="B82" i="2" a="1"/>
  <c r="B82" i="2" s="1"/>
  <c r="C89" i="2" a="1"/>
  <c r="C89" i="2" s="1"/>
  <c r="A91" i="2" a="1"/>
  <c r="A91" i="2" s="1"/>
  <c r="C97" i="2" a="1"/>
  <c r="C97" i="2" s="1"/>
  <c r="A99" i="2" a="1"/>
  <c r="A99" i="2" s="1"/>
  <c r="A107" i="2" a="1"/>
  <c r="A107" i="2" s="1"/>
  <c r="B114" i="2" a="1"/>
  <c r="B114" i="2" s="1"/>
  <c r="B9" i="2" a="1"/>
  <c r="B9" i="2" s="1"/>
  <c r="A26" i="2" a="1"/>
  <c r="A26" i="2" s="1"/>
  <c r="B41" i="2" a="1"/>
  <c r="B41" i="2" s="1"/>
  <c r="A2" i="2" a="1"/>
  <c r="A2" i="2" s="1"/>
  <c r="A3" i="2" a="1"/>
  <c r="A3" i="2" s="1"/>
  <c r="B2" i="2" a="1"/>
  <c r="B2" i="2" s="1"/>
  <c r="B3" i="2" a="1"/>
  <c r="B3" i="2" s="1"/>
  <c r="A4" i="2" a="1"/>
  <c r="A4" i="2" s="1"/>
  <c r="B11" i="2" a="1"/>
  <c r="B11" i="2" s="1"/>
  <c r="B19" i="2" a="1"/>
  <c r="B19" i="2" s="1"/>
  <c r="B35" i="2" a="1"/>
  <c r="B35" i="2" s="1"/>
  <c r="B51" i="2" a="1"/>
  <c r="B51" i="2" s="1"/>
  <c r="A52" i="2" a="1"/>
  <c r="A52" i="2" s="1"/>
  <c r="B59" i="2" a="1"/>
  <c r="B59" i="2" s="1"/>
  <c r="B67" i="2" a="1"/>
  <c r="B67" i="2" s="1"/>
  <c r="A68" i="2" a="1"/>
  <c r="A68" i="2" s="1"/>
  <c r="A76" i="2" a="1"/>
  <c r="A76" i="2" s="1"/>
  <c r="B83" i="2" a="1"/>
  <c r="B83" i="2" s="1"/>
  <c r="A84" i="2" a="1"/>
  <c r="A84" i="2" s="1"/>
  <c r="B91" i="2" a="1"/>
  <c r="B91" i="2" s="1"/>
  <c r="B99" i="2" a="1"/>
  <c r="B99" i="2" s="1"/>
  <c r="A100" i="2" a="1"/>
  <c r="A100" i="2" s="1"/>
  <c r="A108" i="2" a="1"/>
  <c r="A108" i="2" s="1"/>
  <c r="B115" i="2" a="1"/>
  <c r="B115" i="2" s="1"/>
  <c r="A116" i="2" a="1"/>
  <c r="A116" i="2" s="1"/>
  <c r="C3" i="2" a="1"/>
  <c r="C3" i="2" s="1"/>
  <c r="B4" i="2" a="1"/>
  <c r="B4" i="2" s="1"/>
  <c r="A5" i="2" a="1"/>
  <c r="A5" i="2" s="1"/>
  <c r="B12" i="2" a="1"/>
  <c r="B12" i="2" s="1"/>
  <c r="A13" i="2" a="1"/>
  <c r="A13" i="2" s="1"/>
  <c r="C19" i="2" a="1"/>
  <c r="C19" i="2" s="1"/>
  <c r="A21" i="2" a="1"/>
  <c r="A21" i="2" s="1"/>
  <c r="C27" i="2" a="1"/>
  <c r="C27" i="2" s="1"/>
  <c r="A29" i="2" a="1"/>
  <c r="A29" i="2" s="1"/>
  <c r="C35" i="2" a="1"/>
  <c r="C35" i="2" s="1"/>
  <c r="C43" i="2" a="1"/>
  <c r="C43" i="2" s="1"/>
  <c r="B44" i="2" a="1"/>
  <c r="B44" i="2" s="1"/>
  <c r="C51" i="2" a="1"/>
  <c r="C51" i="2" s="1"/>
  <c r="A61" i="2" a="1"/>
  <c r="A61" i="2" s="1"/>
  <c r="C67" i="2" a="1"/>
  <c r="C67" i="2" s="1"/>
  <c r="B76" i="2" a="1"/>
  <c r="B76" i="2" s="1"/>
  <c r="A93" i="2" a="1"/>
  <c r="A93" i="2" s="1"/>
  <c r="B108" i="2" a="1"/>
  <c r="B108" i="2" s="1"/>
  <c r="A12" i="2" a="1"/>
  <c r="A12" i="2" s="1"/>
  <c r="B27" i="2" a="1"/>
  <c r="B27" i="2" s="1"/>
  <c r="A36" i="2" a="1"/>
  <c r="A36" i="2" s="1"/>
  <c r="A44" i="2" a="1"/>
  <c r="A44" i="2" s="1"/>
  <c r="C4" i="2" a="1"/>
  <c r="C4" i="2" s="1"/>
  <c r="B5" i="2" a="1"/>
  <c r="B5" i="2" s="1"/>
  <c r="A6" i="2" a="1"/>
  <c r="A6" i="2" s="1"/>
  <c r="C12" i="2" a="1"/>
  <c r="C12" i="2" s="1"/>
  <c r="B13" i="2" a="1"/>
  <c r="B13" i="2" s="1"/>
  <c r="A14" i="2" a="1"/>
  <c r="A14" i="2" s="1"/>
  <c r="C20" i="2" a="1"/>
  <c r="C20" i="2" s="1"/>
  <c r="A22" i="2" a="1"/>
  <c r="A22" i="2" s="1"/>
  <c r="A30" i="2" a="1"/>
  <c r="A30" i="2" s="1"/>
  <c r="A38" i="2" a="1"/>
  <c r="A38" i="2" s="1"/>
  <c r="A46" i="2" a="1"/>
  <c r="A46" i="2" s="1"/>
  <c r="B53" i="2" a="1"/>
  <c r="B53" i="2" s="1"/>
  <c r="A62" i="2" a="1"/>
  <c r="A62" i="2" s="1"/>
  <c r="A70" i="2" a="1"/>
  <c r="A70" i="2" s="1"/>
  <c r="C76" i="2" a="1"/>
  <c r="C76" i="2" s="1"/>
  <c r="A78" i="2" a="1"/>
  <c r="A78" i="2" s="1"/>
  <c r="C84" i="2" a="1"/>
  <c r="C84" i="2" s="1"/>
  <c r="B85" i="2" a="1"/>
  <c r="B85" i="2" s="1"/>
  <c r="C92" i="2" a="1"/>
  <c r="C92" i="2" s="1"/>
  <c r="A94" i="2" a="1"/>
  <c r="A94" i="2" s="1"/>
  <c r="C100" i="2" a="1"/>
  <c r="C100" i="2" s="1"/>
  <c r="A102" i="2" a="1"/>
  <c r="A102" i="2" s="1"/>
  <c r="C108" i="2" a="1"/>
  <c r="C108" i="2" s="1"/>
  <c r="A110" i="2" a="1"/>
  <c r="A110" i="2" s="1"/>
  <c r="C116" i="2" a="1"/>
  <c r="C116" i="2" s="1"/>
  <c r="C8" i="2" a="1"/>
  <c r="C8" i="2" s="1"/>
  <c r="A18" i="2" a="1"/>
  <c r="A18" i="2" s="1"/>
  <c r="B33" i="2" a="1"/>
  <c r="B33" i="2" s="1"/>
  <c r="C5" i="2" a="1"/>
  <c r="C5" i="2" s="1"/>
  <c r="B6" i="2" a="1"/>
  <c r="B6" i="2" s="1"/>
  <c r="A7" i="2" a="1"/>
  <c r="A7" i="2" s="1"/>
  <c r="B14" i="2" a="1"/>
  <c r="B14" i="2" s="1"/>
  <c r="B22" i="2" a="1"/>
  <c r="B22" i="2" s="1"/>
  <c r="B30" i="2" a="1"/>
  <c r="B30" i="2" s="1"/>
  <c r="C37" i="2" a="1"/>
  <c r="C37" i="2" s="1"/>
  <c r="B38" i="2" a="1"/>
  <c r="B38" i="2" s="1"/>
  <c r="C45" i="2" a="1"/>
  <c r="C45" i="2" s="1"/>
  <c r="C53" i="2" a="1"/>
  <c r="C53" i="2" s="1"/>
  <c r="B54" i="2" a="1"/>
  <c r="B54" i="2" s="1"/>
  <c r="A55" i="2" a="1"/>
  <c r="A55" i="2" s="1"/>
  <c r="C61" i="2" a="1"/>
  <c r="C61" i="2" s="1"/>
  <c r="B62" i="2" a="1"/>
  <c r="B62" i="2" s="1"/>
  <c r="C69" i="2" a="1"/>
  <c r="C69" i="2" s="1"/>
  <c r="B70" i="2" a="1"/>
  <c r="B70" i="2" s="1"/>
  <c r="C77" i="2" a="1"/>
  <c r="C77" i="2" s="1"/>
  <c r="C85" i="2" a="1"/>
  <c r="C85" i="2" s="1"/>
  <c r="B86" i="2" a="1"/>
  <c r="B86" i="2" s="1"/>
  <c r="A87" i="2" a="1"/>
  <c r="A87" i="2" s="1"/>
  <c r="C93" i="2" a="1"/>
  <c r="C93" i="2" s="1"/>
  <c r="B94" i="2" a="1"/>
  <c r="B94" i="2" s="1"/>
  <c r="C101" i="2" a="1"/>
  <c r="C101" i="2" s="1"/>
  <c r="B102" i="2" a="1"/>
  <c r="B102" i="2" s="1"/>
  <c r="C109" i="2" a="1"/>
  <c r="C109" i="2" s="1"/>
  <c r="B74" i="2" a="1"/>
  <c r="B74" i="2" s="1"/>
  <c r="A20" i="2" a="1"/>
  <c r="A20" i="2" s="1"/>
  <c r="A28" i="2" a="1"/>
  <c r="A28" i="2" s="1"/>
  <c r="B43" i="2" a="1"/>
  <c r="B43" i="2" s="1"/>
  <c r="A60" i="2" a="1"/>
  <c r="A60" i="2" s="1"/>
  <c r="B20" i="2" a="1"/>
  <c r="B20" i="2" s="1"/>
  <c r="B28" i="2" a="1"/>
  <c r="B28" i="2" s="1"/>
  <c r="B36" i="2" a="1"/>
  <c r="B36" i="2" s="1"/>
  <c r="A37" i="2" a="1"/>
  <c r="A37" i="2" s="1"/>
  <c r="A45" i="2" a="1"/>
  <c r="A45" i="2" s="1"/>
  <c r="B52" i="2" a="1"/>
  <c r="B52" i="2" s="1"/>
  <c r="A53" i="2" a="1"/>
  <c r="A53" i="2" s="1"/>
  <c r="B60" i="2" a="1"/>
  <c r="B60" i="2" s="1"/>
  <c r="B68" i="2" a="1"/>
  <c r="B68" i="2" s="1"/>
  <c r="A69" i="2" a="1"/>
  <c r="A69" i="2" s="1"/>
  <c r="A77" i="2" a="1"/>
  <c r="A77" i="2" s="1"/>
  <c r="B84" i="2" a="1"/>
  <c r="B84" i="2" s="1"/>
  <c r="A85" i="2" a="1"/>
  <c r="A85" i="2" s="1"/>
  <c r="B92" i="2" a="1"/>
  <c r="B92" i="2" s="1"/>
  <c r="B100" i="2" a="1"/>
  <c r="B100" i="2" s="1"/>
  <c r="A101" i="2" a="1"/>
  <c r="A101" i="2" s="1"/>
  <c r="A109" i="2" a="1"/>
  <c r="A109" i="2" s="1"/>
  <c r="B116" i="2" a="1"/>
  <c r="B116" i="2" s="1"/>
  <c r="B16" i="2" a="1"/>
  <c r="B16" i="2" s="1"/>
  <c r="B21" i="2" a="1"/>
  <c r="B21" i="2" s="1"/>
  <c r="B29" i="2" a="1"/>
  <c r="B29" i="2" s="1"/>
  <c r="B37" i="2" a="1"/>
  <c r="B37" i="2" s="1"/>
  <c r="B45" i="2" a="1"/>
  <c r="B45" i="2" s="1"/>
  <c r="B61" i="2" a="1"/>
  <c r="B61" i="2" s="1"/>
  <c r="B77" i="2" a="1"/>
  <c r="B77" i="2" s="1"/>
  <c r="A86" i="2" a="1"/>
  <c r="A86" i="2" s="1"/>
  <c r="A27" i="2" a="1"/>
  <c r="A27" i="2" s="1"/>
  <c r="B34" i="2" a="1"/>
  <c r="B34" i="2" s="1"/>
  <c r="B42" i="2" a="1"/>
  <c r="B42" i="2" s="1"/>
  <c r="A54" i="2" a="1"/>
  <c r="A54" i="2" s="1"/>
  <c r="B69" i="2" a="1"/>
  <c r="B69" i="2" s="1"/>
  <c r="B93" i="2" a="1"/>
  <c r="B93" i="2" s="1"/>
  <c r="B101" i="2" a="1"/>
  <c r="B101" i="2" s="1"/>
  <c r="B109" i="2" a="1"/>
  <c r="B109" i="2" s="1"/>
  <c r="A15" i="2" a="1"/>
  <c r="A15" i="2" s="1"/>
  <c r="A23" i="2" a="1"/>
  <c r="A23" i="2" s="1"/>
  <c r="A31" i="2" a="1"/>
  <c r="A31" i="2" s="1"/>
  <c r="A39" i="2" a="1"/>
  <c r="A39" i="2" s="1"/>
  <c r="B46" i="2" a="1"/>
  <c r="B46" i="2" s="1"/>
  <c r="A47" i="2" a="1"/>
  <c r="A47" i="2" s="1"/>
  <c r="A63" i="2" a="1"/>
  <c r="A63" i="2" s="1"/>
  <c r="A71" i="2" a="1"/>
  <c r="A71" i="2" s="1"/>
  <c r="B78" i="2" a="1"/>
  <c r="B78" i="2" s="1"/>
  <c r="A79" i="2" a="1"/>
  <c r="A79" i="2" s="1"/>
  <c r="A95" i="2" a="1"/>
  <c r="A95" i="2" s="1"/>
  <c r="A103" i="2" a="1"/>
  <c r="A103" i="2" s="1"/>
  <c r="B110" i="2" a="1"/>
  <c r="B110" i="2" s="1"/>
  <c r="A111" i="2" a="1"/>
  <c r="A111" i="2" s="1"/>
  <c r="A16" i="2" a="1"/>
  <c r="A16" i="2" s="1"/>
  <c r="A24" i="2" a="1"/>
  <c r="A24" i="2" s="1"/>
  <c r="B31" i="2" a="1"/>
  <c r="B31" i="2" s="1"/>
  <c r="B39" i="2" a="1"/>
  <c r="B39" i="2" s="1"/>
  <c r="A40" i="2" a="1"/>
  <c r="A40" i="2" s="1"/>
  <c r="A48" i="2" a="1"/>
  <c r="A48" i="2" s="1"/>
  <c r="B55" i="2" a="1"/>
  <c r="B55" i="2" s="1"/>
  <c r="A56" i="2" a="1"/>
  <c r="A56" i="2" s="1"/>
  <c r="B63" i="2" a="1"/>
  <c r="B63" i="2" s="1"/>
  <c r="B71" i="2" a="1"/>
  <c r="B71" i="2" s="1"/>
  <c r="A72" i="2" a="1"/>
  <c r="A72" i="2" s="1"/>
  <c r="A80" i="2" a="1"/>
  <c r="A80" i="2" s="1"/>
  <c r="B87" i="2" a="1"/>
  <c r="B87" i="2" s="1"/>
  <c r="A88" i="2" a="1"/>
  <c r="A88" i="2" s="1"/>
  <c r="B95" i="2" a="1"/>
  <c r="B95" i="2" s="1"/>
  <c r="B103" i="2" a="1"/>
  <c r="B103" i="2" s="1"/>
  <c r="A104" i="2" a="1"/>
  <c r="A104" i="2" s="1"/>
  <c r="A112" i="2" a="1"/>
  <c r="A112" i="2" s="1"/>
  <c r="A57" i="2" a="1"/>
  <c r="A57" i="2" s="1"/>
  <c r="B72" i="2" a="1"/>
  <c r="B72" i="2" s="1"/>
  <c r="A89" i="2" a="1"/>
  <c r="A89" i="2" s="1"/>
  <c r="B104" i="2" a="1"/>
  <c r="B104" i="2" s="1"/>
  <c r="B17" i="2" a="1"/>
  <c r="B17" i="2" s="1"/>
  <c r="B25" i="2" a="1"/>
  <c r="B25" i="2" s="1"/>
  <c r="A34" i="2" a="1"/>
  <c r="A34" i="2" s="1"/>
  <c r="A42" i="2" a="1"/>
  <c r="A42" i="2" s="1"/>
  <c r="B49" i="2" a="1"/>
  <c r="B49" i="2" s="1"/>
  <c r="A50" i="2" a="1"/>
  <c r="A50" i="2" s="1"/>
  <c r="A66" i="2" a="1"/>
  <c r="A66" i="2" s="1"/>
  <c r="A74" i="2" a="1"/>
  <c r="A74" i="2" s="1"/>
  <c r="B81" i="2" a="1"/>
  <c r="B81" i="2" s="1"/>
  <c r="A82" i="2" a="1"/>
  <c r="A82" i="2" s="1"/>
  <c r="A98" i="2" a="1"/>
  <c r="A98" i="2" s="1"/>
  <c r="A106" i="2" a="1"/>
  <c r="A106" i="2" s="1"/>
  <c r="B113" i="2" a="1"/>
  <c r="B113" i="2" s="1"/>
  <c r="A114" i="2" a="1"/>
  <c r="A114" i="2" s="1"/>
  <c r="B90" i="2" a="1"/>
  <c r="B90" i="2" s="1"/>
  <c r="B98" i="2" a="1"/>
  <c r="B98" i="2" s="1"/>
  <c r="B106" i="2" a="1"/>
  <c r="B106" i="2" s="1"/>
  <c r="A115" i="2" a="1"/>
  <c r="A115" i="2" s="1"/>
  <c r="B24" i="2" a="1"/>
  <c r="B24" i="2" s="1"/>
  <c r="A19" i="2" a="1"/>
  <c r="A19" i="2" s="1"/>
  <c r="A51" i="2" a="1"/>
  <c r="A51" i="2" s="1"/>
  <c r="B58" i="2" a="1"/>
  <c r="B58" i="2" s="1"/>
  <c r="B66" i="2" a="1"/>
  <c r="B66" i="2" s="1"/>
  <c r="A83" i="2" a="1"/>
  <c r="A83" i="2" s="1"/>
  <c r="B75" i="2" a="1"/>
  <c r="B75" i="2" s="1"/>
  <c r="A92" i="2" a="1"/>
  <c r="A92" i="2" s="1"/>
  <c r="B107" i="2" a="1"/>
  <c r="B10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<sst xmlns="http://schemas.openxmlformats.org/spreadsheetml/2006/main" count="3218" uniqueCount="1107">
  <si>
    <t>A1</t>
  </si>
  <si>
    <t>A3</t>
  </si>
  <si>
    <t>00:02:47,280 --&gt; 00:02:54,680</t>
  </si>
  <si>
    <t>الله. أعاده. عليكم السلام ورحمة الله وبركاته.</t>
  </si>
  <si>
    <t>00:02:58,240 --&gt; 00:03:14,360</t>
  </si>
  <si>
    <t> حياكم الله يا أحباب. وعليكم السلام ورحمة الله وبركاته. جمعة. يا الله. فيض بطل. </t>
  </si>
  <si>
    <t>00:03:16,440 --&gt; 00:03:23,640</t>
  </si>
  <si>
    <t>معي. وكذا. ان شاء الله. يضبط. ما هذا؟ الحد؟ الصفحة. مالك. </t>
  </si>
  <si>
    <t>00:03:25,860 --&gt; 00:03:29,579</t>
  </si>
  <si>
    <t>احنا نشرب. </t>
  </si>
  <si>
    <t>00:03:29,579 --&gt; 00:04:57,090</t>
  </si>
  <si>
    <t>الزوت. لا. الله اكبر. واحد. واحد. </t>
  </si>
  <si>
    <t>00:04:57,090 --&gt; 00:04:57,090</t>
  </si>
  <si>
    <t>واحد. </t>
  </si>
  <si>
    <t>00:04:57,090 --&gt; 00:04:57,500</t>
  </si>
  <si>
    <t>واحد. واحد. </t>
  </si>
  <si>
    <t>00:04:57,500 --&gt; 00:04:57,510</t>
  </si>
  <si>
    <t>00:04:57,510 --&gt; 00:04:57,510</t>
  </si>
  <si>
    <t>واحد. واحد. واحد. </t>
  </si>
  <si>
    <t>00:04:57,510 --&gt; 00:05:08,260</t>
  </si>
  <si>
    <t>واحد. واحد. راح نبدأ ان شاء الله دقيقة بس. اقل من دقيقة ان شاء الله راح نبدأ بس ننتظر مزيد من الطلاب. الصوت ان شاء الله واضح الحين. </t>
  </si>
  <si>
    <t>00:05:08,260 --&gt; 00:05:17,900</t>
  </si>
  <si>
    <t>هو كذا بداية الحصة يا فارس لكن ياخذ وقت وتضبط الامور ان شاء الله. </t>
  </si>
  <si>
    <t>00:05:17,900 --&gt; 00:05:31,380</t>
  </si>
  <si>
    <t>ويمكن مع الغيم والمطر والجو الجميل. يمكن طول ويقطع اليوم. اشكركم على حضوركم. الله يعافيك يا فارس.</t>
  </si>
  <si>
    <t>00:05:32,720 --&gt; 00:05:55,120</t>
  </si>
  <si>
    <t> صبرتنا الله بالخير جميعا. السلام عليكم ورحمة الله وبركاته. حي الله الشباب الابطال. ابطال نون. </t>
  </si>
  <si>
    <t>00:05:55,120 --&gt; 00:06:01,060</t>
  </si>
  <si>
    <t>راح يكون درسنا اليوم عن الدائرة فيها بعض القوانين المكررة معكم ان شاء الله.</t>
  </si>
  <si>
    <t>00:06:01,716 --&gt; 00:06:28,636</t>
  </si>
  <si>
    <t>اه ان شاء الله. الدرس يكون سلس وسهل. احتاج منكم المشاركة. التفاعل. طبعا اليوم الحصة عن بعد تكون يعني المجموعات يعني ما في تعاون بين المجموعات. لكن ان شاء الله راح يكون التفاعل من خلال المايكات. انا ودي تطلبون مايكات ونناقش بعض الاسئلة دائما لما يكون في مناقشة تبيين بعض </t>
  </si>
  <si>
    <t>00:06:28,636 --&gt; 00:06:35,816</t>
  </si>
  <si>
    <t>مثلا المفاهيم الخاطئة. اه لا ما في حبر فيه مبارزة الفرق </t>
  </si>
  <si>
    <t>00:06:35,816 --&gt; 00:07:47,496</t>
  </si>
  <si>
    <t>في تدريبات جماعية لان ما في حبار. لكن عموما حتى لو كان في حبار يعني لما يكون ما في مجموعات فعالة. يعني راح نختصر الوقت ان شاء الله بالمناقشة عن طريق المايكات. بسم الله الرحمن الرحيم. نبدأ. حي الله الابطال. اليوم راح نراجع الدائرة. راح نراجع المستقيمات اللي في الدائرة مثل الوتر والقطر والمماس والزوايا ومحيط الدائرة ومساحتها والمضلعات في الدائرة زي المثلث والمربع لما يرسم داخل دائرة او يرسم خارج دائرة. فيه بعض العلاقات تنشأ بين هذه المضلعات والدائرة. اليوم ركزوا بس على اهم المستقيمات اللي داخل الدائرة. فيه مستقيم دائما نبحث عنه ويعني ما نقدر نحل الا من خلاله خاصة اذا كان السؤال عن مساحة او محيط وهي انصاف الاطار انصاف الاطار. ما هو نصف القطر؟ هو القطعة الواصلة بين مركز الدائرة الى الدائرة. </t>
  </si>
  <si>
    <t>00:07:47,496 --&gt; 00:07:49,756</t>
  </si>
  <si>
    <t>طيب ما هو؟ اه</t>
  </si>
  <si>
    <t>00:07:51,096 --&gt; 00:08:51,536</t>
  </si>
  <si>
    <t> ما هو الوتر؟ هو قطعة لا تمر بمركز الدائرة تلقاها تمر بين نقطتين على الدائرة. ما هو القطر؟ هو نقطة تصل من نقطة على الدائرة الى نقطة اخرى على الدائرة مرورا بالمركز. هذا هو القطر. طبعا نحن القطر نحتاجه في المحيط لان المحيط هو عبارة عن القطر في طاء. طيب نصف القطر متى نحتاجه؟ نحتاجه ايضا في المحيط. يمكن نقول اثنين نق اثنين نق في طاء. هذا يعطينا المحيط. طبعا اثنين نق اللي هو القطر. ايضا نحتاجه بشكل اساسي في المساحة في مساحة الدائرة. طيب ما هو المماس؟ المماس هو المستقيم المار على نقطة خارج يعني يمس الدائرة في نقطة على الدائرة. طيب ما علاقة المماس بالقطر دائما؟ اي نصف قطر </t>
  </si>
  <si>
    <t>00:08:51,536 --&gt; 00:09:10,376</t>
  </si>
  <si>
    <t>يلتقي مع المماس في النقطة اللي على الدائرة يشكلان زاوية قائمة. يعني يكونون متعامدان المماس للدائرة عمودي على قطرها في نقطة التماس. طيب هنا في بيجينا سؤال او سؤالين على هذي الخاصية. انتبهوا يا شباب </t>
  </si>
  <si>
    <t>00:09:10,376 --&gt; 00:09:36,396</t>
  </si>
  <si>
    <t>المماسان مرسومان من نفس النقطة يكونان متطابقان. المماسان مرسومان من نفس النقطة يكونان متطابقان. وهذه نشوفها ايضا بيكون عليها سؤال. طيب المستقيم الواصل من مركز الدائرة الى الوتر عموديا ينصف الوتر الى قطعتين متساويتين ينصف الوتر. </t>
  </si>
  <si>
    <t>00:09:36,396 --&gt; 00:09:59,196</t>
  </si>
  <si>
    <t>اذا اي وتر اي دائرة فيها وتر. لو رسمت قطعة عمودية ما هو نصف قطر النصف القطر لازم يوصل الى الدائرة. هذا ما وصل الى الدائرة. هذا قطعة من مركز الدائرة الى الوتر لكن عموديا فانه ينصف الوتر الى قطعتين متساويتين. </t>
  </si>
  <si>
    <t>00:09:59,256 --&gt; 00:10:08,856</t>
  </si>
  <si>
    <t>هذه ايضا قد نحتاج نبدأ تحقق من الفهم. بسم الله. </t>
  </si>
  <si>
    <t>00:10:09,216 --&gt; 00:10:48,436</t>
  </si>
  <si>
    <t>انتبهوا يا شباب. هذا السؤال. ايجاد المحيط. محيط المثلث هو مجموع اضلاعه. طيب يا استاذ، هل الاضلاع موجودة كاملة؟ لا نعطيك من كل ضلع قطعة. لكن تذكروا ان المماسان المنطلقان من نقطة واحدة متطابقان. المماسان المنطلقان من نقطة واحدة متطابقان. اذا اول شيء لازم تكمل اضلاع المثلث. لازم تكمل قياساتها بعدين تجمعها. ابغى احد يطلب مايك </t>
  </si>
  <si>
    <t>00:10:48,436 --&gt; 00:10:53,696</t>
  </si>
  <si>
    <t>من الان اربع اصوات صحيحة. </t>
  </si>
  <si>
    <t>00:10:53,696 --&gt; 00:11:15,376</t>
  </si>
  <si>
    <t>3 اصوات رجعت 4 اصوات. رجعت 3. 4. لكن الاغلبية للاسف اصوات خاطئة. يعطيكم العافية. ممتازين. احد يطلب مايك يا شباب؟ يلا عندي فارس. تفضل يا فارس. </t>
  </si>
  <si>
    <t>00:11:15,376 --&gt; 00:11:17,496</t>
  </si>
  <si>
    <t>يلا يا فاريس سلام عليكم. </t>
  </si>
  <si>
    <t>00:11:17,496 --&gt; 00:11:20,676</t>
  </si>
  <si>
    <t>عليكم السلام ورحمة الله وبركاته. </t>
  </si>
  <si>
    <t>00:11:20,676 --&gt; 00:11:36,736</t>
  </si>
  <si>
    <t>حليتها بالبركة قصدي بالبركة. قصدي شفت شفتها واحد واربعين اخترتها. بعدين يوم ما تتكلم قلت اه هو متطابق ضربت في اثنين طلع لي اثنين وثمانين. هذا بالحظ. </t>
  </si>
  <si>
    <t>00:11:36,736 --&gt; 00:11:37,316</t>
  </si>
  <si>
    <t>والله انك </t>
  </si>
  <si>
    <t>00:11:37,316 --&gt; 00:11:41,336</t>
  </si>
  <si>
    <t>بالحظ والبركة ولا استخدم شوي الذكاء. </t>
  </si>
  <si>
    <t>00:11:41,336 --&gt; 00:11:51,966</t>
  </si>
  <si>
    <t>والله بطل بطل والتركيز شاف التركيز. لما انا اعطيك تيسير في الحل ترى ركز لاني افتح لك ادراك اكثر يعني. ايوه طيب انت معاي. </t>
  </si>
  <si>
    <t>00:11:51,966 --&gt; 00:11:54,876</t>
  </si>
  <si>
    <t>سعداء. </t>
  </si>
  <si>
    <t>00:11:54,876 --&gt; 00:11:58,786</t>
  </si>
  <si>
    <t>خلك معي يا فارس. تسمعني. الو. يا فارس. </t>
  </si>
  <si>
    <t>00:11:58,786 --&gt; 00:11:59,915</t>
  </si>
  <si>
    <t>اسمعك. اسمعك. </t>
  </si>
  <si>
    <t>00:11:59,915 --&gt; 00:12:06,356</t>
  </si>
  <si>
    <t>صوتك. صوتك. راح. طيب. شوف لي هذي نقطة. صح؟ انطلق منها مماس. اوكي. </t>
  </si>
  <si>
    <t>00:12:06,356 --&gt; 00:12:09,516</t>
  </si>
  <si>
    <t>صح. واضح.</t>
  </si>
  <si>
    <t>00:12:11,096 --&gt; 00:12:19,336</t>
  </si>
  <si>
    <t>هذا واضح واضح. ايوه طيب ومن نفس النقطة مماس. ايش قلنا قبل قليل. المماسين ايش فيهم. </t>
  </si>
  <si>
    <t>00:12:19,336 --&gt; 00:12:21,816</t>
  </si>
  <si>
    <t>انه متساويين. </t>
  </si>
  <si>
    <t>00:12:21,816 --&gt; 00:12:29,436</t>
  </si>
  <si>
    <t>متطابقين. اي مماسات. اذا هذا 14. وهذا 14 صح. ايه </t>
  </si>
  <si>
    <t>00:12:29,436 --&gt; 00:12:36,116</t>
  </si>
  <si>
    <t>ممتاز. وهذا عندي هنا نقطة انطلق منها مماسان متطابقان. اذا هذا 10. هذا بيكون 10. </t>
  </si>
  <si>
    <t>00:12:36,116 --&gt; 00:12:36,636</t>
  </si>
  <si>
    <t>هذا 10. </t>
  </si>
  <si>
    <t>00:12:36,636 --&gt; 00:12:38,596</t>
  </si>
  <si>
    <t>وعندي نقطة </t>
  </si>
  <si>
    <t>00:12:38,596 --&gt; 00:13:25,036</t>
  </si>
  <si>
    <t>منهم مماسان متطابقان ايضا. اذا هذا يطابق هذا. اذا هذا 17. هذا 17 نفس ما سويته. تجمعها وتضربها في اثنين. لان عندي 10 مرتين وال 14 مرتين وال 17 مرتين فاجابتك صحيحة. فارس انت يوم قلت متطابقان جمعتهم ضربت في اثنين. ممتاز. زائد 14 زائد 17 يعطينا 41. طيب هذي ايش هذي؟ كل قطع لحالها طبعا نضربها في اثنين لان العشرة موجودة مرتين وال 14 مرتين وهكذا. اذا نضربها في اثنين يعطينا 82. هذه الاجابة الصحيحة واضح يا شباب تكتبون لي في الشات بيض على وجهك. يعطيك العافية. فارس شكرا لك </t>
  </si>
  <si>
    <t>00:13:25,036 --&gt; 00:13:30,656</t>
  </si>
  <si>
    <t>كفو يا فارس. </t>
  </si>
  <si>
    <t>00:13:30,656 --&gt; 00:14:36,056</t>
  </si>
  <si>
    <t>واضح يا شباب. ممتاز نمشي. طيب خلوكم معي هنا. عندنا الزاوية المحيطية والزاوية المركزية. ايش العلاقة بينهم؟ هذي دائرة عشان اوضحها لك اكثر. لو رسمت زاوية محيطية. قياس الزاوية المحيطية هي الزاوية التي ترسم يكون رأسها على محيط الدائرة ويقابلها قوس. هذا القوس. قياس الزاوية المحيطية. يعني لو قياس القوس 120. قياس الزاوية المحيطية اللي تقابلها بتكون 60 نص قياس القوس المقابل. طيب لو رسمنا من المركز زاوية مركزية على نفس القوس. قياس الزاوية المركزية تساوي قياس القوس المقابل لها. يعني قياس الزاوية المركزية هذي بتكون 120. اذا واضح تكتبون يا شباب. </t>
  </si>
  <si>
    <t>00:14:36,056 --&gt; 00:14:42,256</t>
  </si>
  <si>
    <t>واضح. مفهوم. حلو الكلام. </t>
  </si>
  <si>
    <t>00:14:43,756 --&gt; 00:15:12,236</t>
  </si>
  <si>
    <t>ممتاز. اذا نفرق بين الزاوية المحيطية والزاوية المركزية. الزاوية المحيطية دائما هي نصف الزاوية المركزية. الزاوية المحيطية هي نصف الزاوية المركزية التي مرسومة معها على نفس القوس. يلا نروح للي بعده. طيب عندي زاوية محيطية لكن رأساها قطر الدائرة. اذا كم القوس اللي مقابل لها؟ </t>
  </si>
  <si>
    <t>00:15:13,396 --&gt; 00:15:16,036</t>
  </si>
  <si>
    <t>كم القوس اللي يقابلها </t>
  </si>
  <si>
    <t>00:15:16,036 --&gt; 00:15:28,996</t>
  </si>
  <si>
    <t>نصف الدائرة اللي هو 180. قياس القوس 180. اذا الزاوية المحيطية في هذه الحالة ستكون زاوية قائمة. يعني قياسها 90. </t>
  </si>
  <si>
    <t>00:15:28,996 --&gt; 00:15:47,556</t>
  </si>
  <si>
    <t>انتبه يا عبد الله خلاص بتفهم في هذا. يا عبد الله. الزاوية المحيطية. الزاوية المحيطية المرسومة على نصف دائرة قياسها 90. ليه؟ لان القوس المقابل لها هو نصف الدائرة 180. وش قلنا؟ الزاوية المحيطية </t>
  </si>
  <si>
    <t>00:15:47,556 --&gt; 00:16:16,616</t>
  </si>
  <si>
    <t>دائما هي نصف قياس القوس المقابل لها. يعني لو القوس 60. الزاوية المحيطية 30. طيب لو في زاوية مركزية على نفس القوس يكون نفسه 60. فالزاوية المحيطية هي نصف الزاوية المركزية ونصف أيضا القوس المقابل لها. طيب هذه مهمة. هذه مهمة. الزاوية المحيطية التي على نصف دائرة </t>
  </si>
  <si>
    <t>00:16:16,616 --&gt; 00:16:22,316</t>
  </si>
  <si>
    <t>هي قياسها 90 زاوية قائمة. نروح للي بعده. </t>
  </si>
  <si>
    <t>00:16:23,656 --&gt; 00:16:36,196</t>
  </si>
  <si>
    <t>عندنا زاوية اسمها الزاوية المماسية وهذه فيها أسئلة كثيرة. ما هي الزاوية المماسية؟ أنا ارسمها لك هنا. لو عندي دائرة. </t>
  </si>
  <si>
    <t>00:16:36,196 --&gt; 00:16:40,936</t>
  </si>
  <si>
    <t>تمام. وهذا مركزها م. </t>
  </si>
  <si>
    <t>00:16:40,936 --&gt; 00:16:44,896</t>
  </si>
  <si>
    <t>ورسمت زاوية مماسية. يعني </t>
  </si>
  <si>
    <t>00:16:44,896 --&gt; 00:16:48,136</t>
  </si>
  <si>
    <t>بهذا الشكل. </t>
  </si>
  <si>
    <t>00:16:48,136 --&gt; 00:16:59,856</t>
  </si>
  <si>
    <t>يعني احد اضلاعها مماس. هذا مماس. والضلع الاخر وتر في الدائرة. شايفينها. اذا عندي هذه الزاوية اسمها زاوية </t>
  </si>
  <si>
    <t>00:16:59,856 --&gt; 00:17:43,396</t>
  </si>
  <si>
    <t>زاوية مماسية. طيب كيف اجيب قياسها؟ وش علاقتها بالدائرة يا استاذ؟ ركزوا معي. قياسها هي نصف القوس المرسومة عليه اللي عليه الوتر. شايفين الوتر هذا. الضلع الثاني قياسه هي نصف القوس. لا. الزاوية المماسية ما تكون قائمة الا لو كان ما هو وتر. كان نصف قطر. متى تكون الزاوية المماسية قائمة؟ اذا كان عندي مماس. والضلع الاخر نصف قطر. واضح يا كرم. والضلع الاخر نصف قطر. هنا تكون الزاوية المماسية قائمة. </t>
  </si>
  <si>
    <t>00:17:44,696 --&gt; 00:18:13,176</t>
  </si>
  <si>
    <t>لا. الزاوية المماسية ضلع منها خارج الدائرة التي هو المماس. وضلع منها هو وتر داخل الدائرة. طيب ايش علاقتها بالدائرة؟ القوس اللي مرسوم عليه الوتر. قياسه هو نصف نصفه هو قياس الزاوية المماسية. تمام. واضح يعني لو كان هذا القوس قياسه مثلا 80. كم قياس الزاوية؟ مثلا س هنا كم س تساوي. جاوبوا يا شباب.</t>
  </si>
  <si>
    <t>00:18:14,928 --&gt; 00:18:14,938</t>
  </si>
  <si>
    <t>ب 20. </t>
  </si>
  <si>
    <t>00:18:14,938 --&gt; 00:18:29,048</t>
  </si>
  <si>
    <t>كم. ممتاز. 40. طيب نبغى علاقة ثانية نربطها ببعض. لو فيه زاوية محيطية هنا. ركزوا معي على نفس القوس </t>
  </si>
  <si>
    <t>00:18:29,048 --&gt; 00:18:34,547</t>
  </si>
  <si>
    <t>كم بتكون لو قلنا هذي صاد كم صاد تساوي؟ </t>
  </si>
  <si>
    <t>00:18:34,548 --&gt; 00:18:38,188</t>
  </si>
  <si>
    <t>يلا يا شباب. </t>
  </si>
  <si>
    <t>00:18:38,188 --&gt; 00:18:59,768</t>
  </si>
  <si>
    <t>زاوية محيطية على نفس القوس حقت الزاوية المماسية. قلنا الزاوية المماسية هي المماس مع وتر. ايضا هذي بتكون 40. يعني استنتجنا شي ان الزاوية المحيطية تساوي الزاوية المماسية اللي على نفس القوس. اذا اوضحها هنا بشكل اكثر. ها؟ لو عندي </t>
  </si>
  <si>
    <t>00:18:59,768 --&gt; 00:19:02,388</t>
  </si>
  <si>
    <t>قوس. </t>
  </si>
  <si>
    <t>00:19:02,388 --&gt; 00:19:06,008</t>
  </si>
  <si>
    <t>رسمت عليه زاوية مماسية </t>
  </si>
  <si>
    <t>00:19:06,008 --&gt; 00:19:08,348</t>
  </si>
  <si>
    <t>ورسمت عليه </t>
  </si>
  <si>
    <t>00:19:08,348 --&gt; 00:19:12,408</t>
  </si>
  <si>
    <t>زاوية محيطية. </t>
  </si>
  <si>
    <t>00:19:12,408 --&gt; 00:19:32,068</t>
  </si>
  <si>
    <t>هذي زاوية مماسية وهذي زاوية محيطية. الزاويتين متطابقتين. الزاوية المماسية والمحيطة اللي على نفس القوس متطابقتين. طيب كم قياسهم قياسهم نصف القوس. نصف القوس هذا اتمنى انه يكون واضح. </t>
  </si>
  <si>
    <t>00:19:32,068 --&gt; 00:19:39,048</t>
  </si>
  <si>
    <t>ما فهمت ايش قصدك الثالث يا فارس. </t>
  </si>
  <si>
    <t>00:19:39,048 --&gt; 00:19:44,088</t>
  </si>
  <si>
    <t>يلا نروح نتحقق ونفهم. ما فهمت والله سؤالك يا فارس. </t>
  </si>
  <si>
    <t>00:19:44,088 --&gt; 00:19:47,788</t>
  </si>
  <si>
    <t>00:19:47,788 --&gt; 00:19:52,008</t>
  </si>
  <si>
    <t>هذا على الزاوية المحيطية على نصف قطر.</t>
  </si>
  <si>
    <t>00:19:54,588 --&gt; 00:20:20,108</t>
  </si>
  <si>
    <t> يلا اللي حضروا معنا درس امس بيجاوبون هذا السؤال. مثلث فيثاغورس. </t>
  </si>
  <si>
    <t>00:20:20,108 --&gt; 00:20:27,488</t>
  </si>
  <si>
    <t>مثلث فيثاغورس.</t>
  </si>
  <si>
    <t>00:20:31,928 --&gt; 00:20:36,568</t>
  </si>
  <si>
    <t> مثلث فيثاغورس المشهور. </t>
  </si>
  <si>
    <t>00:20:36,568 --&gt; 00:20:38,068</t>
  </si>
  <si>
    <t>احد يطلب استايج يا شباب </t>
  </si>
  <si>
    <t>00:20:39,268 --&gt; 00:20:58,117</t>
  </si>
  <si>
    <t>تطلب مايك. يعطيكم العافية. اشكركم. يلا نروح للسؤال. فارس طلع. يلا يا كرم. يلا يا كرم. اتفضل يا كرم سريعا. </t>
  </si>
  <si>
    <t>00:20:58,117 --&gt; 00:20:59,348</t>
  </si>
  <si>
    <t>السلام عليكم اساتذة. </t>
  </si>
  <si>
    <t>00:20:59,348 --&gt; 00:21:01,748</t>
  </si>
  <si>
    <t>عليكم السلام. حياك الله يا كرم. اتفضل. </t>
  </si>
  <si>
    <t>00:21:01,748 --&gt; 00:21:06,568</t>
  </si>
  <si>
    <t>المثلث الفيثاغورس يكون خمسة ثلاثة اربعة. </t>
  </si>
  <si>
    <t>00:21:06,568 --&gt; 00:21:17,388</t>
  </si>
  <si>
    <t>طيب ليه اوقف عطني مبرر ليه استخدمت فيثاغورس؟ هل المثلث قائم الزاوية؟ هل على قال ان المثلث قائم الزاوية؟ ايش قال هو؟ </t>
  </si>
  <si>
    <t>00:21:17,388 --&gt; 00:21:20,928</t>
  </si>
  <si>
    <t>هذا نصف قطر الدائرة. </t>
  </si>
  <si>
    <t>00:21:20,928 --&gt; 00:21:32,148</t>
  </si>
  <si>
    <t>ممتاز انا عندي زاوية محيطية صح؟ على النصف. على. على قطر الدائرة او ممتاز على قطر الدائرة او على نصف الدائرة. اذا المثلث هذا قائم. </t>
  </si>
  <si>
    <t>00:21:32,148 --&gt; 00:21:32,608</t>
  </si>
  <si>
    <t>قائم </t>
  </si>
  <si>
    <t>00:21:32,608 --&gt; 00:21:40,688</t>
  </si>
  <si>
    <t>الزاوية ممتاز. عندي هذي الضلعين القائمين كاني ابغى اجيب الوتر صح ولا لا؟ ايوه كم </t>
  </si>
  <si>
    <t>00:21:40,688 --&gt; 00:21:44,308</t>
  </si>
  <si>
    <t>يساوي. </t>
  </si>
  <si>
    <t>00:21:44,308 --&gt; 00:22:29,388</t>
  </si>
  <si>
    <t>ممتاز. يساوي الجذر التربيعي الستة وثلاثين زائد اربعة وستين اللي هو اربع الضلعين هذه واجمعهم تحت الجذر يساوي جذر مئة يساوي عشرة. طيب استاذ لازم استخدم فيثاغورس اذا ما تعرف المثلثات الخاصة او المشهورة. هذا المثلث اللي تعرفونه. ثلاثة. اربعة. خمسة. صح. صح. ايوه. جميل. ثلاثة. اربعة. خمسة. طيب لو خل هذا ستة. وهذا ثمانية. اذا هذا عشرة. وهكذا. لو خل هذا مثلا تسعة. وهذا 12. اذا هذا بكون خمسطعش. هذا المثلث المشهور. طيب انا ايش جبت الحين يا كرم. الالف باء صح. </t>
  </si>
  <si>
    <t>00:22:29,388 --&gt; 00:22:31,867</t>
  </si>
  <si>
    <t>طول الوتر عشرة اللي هو الف باء </t>
  </si>
  <si>
    <t>00:22:31,867 --&gt; 00:22:38,808</t>
  </si>
  <si>
    <t>مش الوتر ايش اسمه القطر صح؟ قطر بس ايش يبغاه؟ ايش يبغى؟ ايش يبغى؟ </t>
  </si>
  <si>
    <t>00:22:38,808 --&gt; 00:22:40,068</t>
  </si>
  <si>
    <t>نصف القطر. </t>
  </si>
  <si>
    <t>00:22:40,068 --&gt; 00:22:52,748</t>
  </si>
  <si>
    <t>نصف القطر. اذا اقسم العشرة على اثنين. اذا النق يساوي خمسة. اجابة صحيحة وكافية وشافية ووافية. بيض الله وجهك. الله يعطيك العافية يا كرم. شكرا لك. يلا نروح للي بعده. يا شباب.</t>
  </si>
  <si>
    <t>00:22:55,688 --&gt; 00:23:23,028</t>
  </si>
  <si>
    <t> انتبهوا معي. مساحة الدائرة طاء نق تربيع. تضرب نصف القطر تربيع في طاء. او احيانا الطاء قد يكون ثلاثة فاصلة اربعة عشر. والمحيط هو القطر او نصف القطر في اثنين ونضربها في طاء. سهلة ان شاء الله. نبدأ. السؤال. يلا. </t>
  </si>
  <si>
    <t>00:23:27,308 --&gt; 00:23:41,728</t>
  </si>
  <si>
    <t>ركزوا يا شباب. الجزء المظلل كم نسبته من الدائرة؟ تجيب مساحة الدائرة. وبعدين تشوف الجزء المظلل كم نسبته من الدائرة؟ هل هو الربع؟ الثلث. النص. ثلثين. يعني </t>
  </si>
  <si>
    <t>00:23:41,728 --&gt; 00:23:54,368</t>
  </si>
  <si>
    <t>اول شي لازم تحدد نسبة الجزء المظلل. قد يكون ربع. قد يكون نص. قد يكون خمس. قد يكون سدس. قد يكون ثلثين. وهكذا. </t>
  </si>
  <si>
    <t>00:23:54,368 --&gt; 00:24:14,928</t>
  </si>
  <si>
    <t>يلا ما نقطع الشاش.</t>
  </si>
  <si>
    <t>00:24:17,952 --&gt; 00:24:18,182</t>
  </si>
  <si>
    <t>[صوت موسيقى] </t>
  </si>
  <si>
    <t>00:24:18,182 --&gt; 00:24:30,232</t>
  </si>
  <si>
    <t>سريعا احد بيطلب ماي. معنا اول واحد طلب فارس. ليس فارس. خالد يا خالد. يلا يا خالد. مع </t>
  </si>
  <si>
    <t>00:24:30,232 --&gt; 00:24:40,572</t>
  </si>
  <si>
    <t>ان اتوقع اجابتك هاته يا خالد. تسمعني يا خالد. بس افتح المايك. يلا يا خالد. </t>
  </si>
  <si>
    <t>00:24:40,572 --&gt; 00:24:44,552</t>
  </si>
  <si>
    <t>انا غلطت في السؤال بس اني فهمته بعد ما غلطت. </t>
  </si>
  <si>
    <t>00:24:44,552 --&gt; 00:24:45,631</t>
  </si>
  <si>
    <t>يلا روح يا خالد. </t>
  </si>
  <si>
    <t>00:24:45,632 --&gt; 00:24:53,052</t>
  </si>
  <si>
    <t>يقولون في الشكل التالي دائرة نصف قطرها 3 سنتيمتر. مساحة الجزء المظلل. </t>
  </si>
  <si>
    <t>00:24:53,052 --&gt; 00:24:54,572</t>
  </si>
  <si>
    <t>ممتاز </t>
  </si>
  <si>
    <t>00:24:54,572 --&gt; 00:24:56,952</t>
  </si>
  <si>
    <t>ولو... </t>
  </si>
  <si>
    <t>00:24:56,952 --&gt; 00:25:03,852</t>
  </si>
  <si>
    <t>لو نلاحظ ان الجزء الغير مظلل. زاويته 120 اللي هي ثلث ثلث المثلث الدائرة. </t>
  </si>
  <si>
    <t>00:25:03,852 --&gt; 00:25:10,492</t>
  </si>
  <si>
    <t>المثال 120 هي ثلث الدائرة صح؟ صح. اذا المضلل كم هو؟ </t>
  </si>
  <si>
    <t>00:25:10,492 --&gt; 00:25:13,452</t>
  </si>
  <si>
    <t>240. </t>
  </si>
  <si>
    <t>00:25:13,452 --&gt; 00:25:32,551</t>
  </si>
  <si>
    <t>كم نسبته. ممتاز 240. اذا باقي من 360. 240. اذا ابغى احسب نسبة نسبة المضلل. نقسمها على 360 يساوي الصفر يروح مع الصفر. و24 نبسطها مع 36 بنقسمهم على على كام </t>
  </si>
  <si>
    <t>00:25:32,552 --&gt; 00:25:37,292</t>
  </si>
  <si>
    <t>على 6 صح 6 على 6 </t>
  </si>
  <si>
    <t>00:25:37,292 --&gt; 00:25:59,292</t>
  </si>
  <si>
    <t>او على 12 افضل 24 على 12 بكم ب2. وستة وثلاثين على اثنعش بكم؟ ثلاثة اذا قسمنا على اثنعش وقسمنا على اثنعش بدل ما نبسط مرتين والصفر يروح مع الصفر. اذا كم نسبة المضلل؟ ثلثين ثلثين صحيح. كم مساحة الدائرة؟ احسب لي مساحة الدائرة. </t>
  </si>
  <si>
    <t>00:25:59,292 --&gt; 00:26:08,952</t>
  </si>
  <si>
    <t>اللي هو قال لي الحين في المعطيات ان نصف قطرها ثلاثة. الدائرة طاء نقط تربيعي اللي هي نصف القطر ثلاثة تربيع تسعة. </t>
  </si>
  <si>
    <t>00:26:08,952 --&gt; 00:26:13,332</t>
  </si>
  <si>
    <t>طه اي ممتاز. طيب مساحة المضلل. </t>
  </si>
  <si>
    <t>00:26:13,332 --&gt; 00:26:15,932</t>
  </si>
  <si>
    <t>مساحة المضلل اللي هو </t>
  </si>
  <si>
    <t>00:26:15,932 --&gt; 00:26:17,372</t>
  </si>
  <si>
    <t>ستة. اللي هو الثلثين. </t>
  </si>
  <si>
    <t>00:26:17,372 --&gt; 00:26:20,712</t>
  </si>
  <si>
    <t>لا اللي هو نضرب ثلثين </t>
  </si>
  <si>
    <t>00:26:20,712 --&gt; 00:26:29,212</t>
  </si>
  <si>
    <t>النسبة ضرب تسعة. طا جميل. اي تروح التسعة مع الثلاثة فيها كم فيها؟ </t>
  </si>
  <si>
    <t>00:26:29,212 --&gt; 00:26:29,692</t>
  </si>
  <si>
    <t>ثلاثة. </t>
  </si>
  <si>
    <t>00:26:29,692 --&gt; 00:26:43,372</t>
  </si>
  <si>
    <t>ثلاثة. اثنين في ثلاثة بستة. طا اجابتك صحيحة وبيض الله وجهك. يعطيك العافية. شكرا لك يا خالد. الله يعطيك العافية. كفو. طيب واضح يا شباب. </t>
  </si>
  <si>
    <t>00:26:43,372 --&gt; 00:26:48,312</t>
  </si>
  <si>
    <t>واضح. اكتبوا لي في الشات. الكل واضح. </t>
  </si>
  <si>
    <t>00:26:48,392 --&gt; 00:26:54,392</t>
  </si>
  <si>
    <t>سهل. روح للي بعده. </t>
  </si>
  <si>
    <t>00:26:54,392 --&gt; 00:26:58,952</t>
  </si>
  <si>
    <t>جميل. طيب. </t>
  </si>
  <si>
    <t>00:27:02,232 --&gt; 00:27:36,012</t>
  </si>
  <si>
    <t>ممتاز. يلا نروح للي بعده. عندنا الرباعي الدائري ما هو الرباعي الدائري؟ هو رباعي شكل رباعي مرسوم رؤوسه على محيط الدائرة. طيب ايش نستفيد منه؟ كل زاويتين متقابلتين متكاملتين. يعني مجموعهم 180. يعني لو كان هذه الزاوية مثلا قياسها 70 كم قياس اللي تقابلها؟ لو كان هذه 70 كم الاكس اللي قدامها او سين راح تكون 110 سهل </t>
  </si>
  <si>
    <t>00:27:36,012 --&gt; 00:28:37,752</t>
  </si>
  <si>
    <t>واضح جميل. طيب عندنا المضلعات المنتظمة اللي داخل الدائرة. ايش يعني منتظمة؟ يعني اضلاعها متطابقة. المثلث متطابق الاضلاع اللي داخل دائرة اذا نبغى طول ضلعه نضرب نصف قطر الدائرة في جذر 3. المربع اللي مرسوم داخل دائرة. اذا نبغى ضلع المربع نضرب نصف القطر في جذر 2. وهذي بنشوفها حسب كل سؤال. ايش اللي بيصير معنا؟ اذا كان عندي سداسي داخل دائرة. طول ضلع السداسي يساوي نصف القطر ولا تضرب في شيء. اذا السداسي نصف القطر هو طول الضلع لانه عبارة عن مثلثات متطابقة. الاضلاع هو عبارة عن مثلثات متطابقة. الاضلاع. هذا نصف قطر. هذا نصف قطر. وهذا ضلع السداسي. فمباشرة طول الضلع يساوي نصف القطر. يهمنا دائما لو عندي دائرة هذا اللي تحتاجه. وكان عندي مثلا </t>
  </si>
  <si>
    <t>00:28:38,792 --&gt; 00:28:47,492</t>
  </si>
  <si>
    <t>مثلث متطابق الضلعين اللي هو نصف قطر هنا ونصف قطر هنا. واحتجنا مثلا الضلع هذا </t>
  </si>
  <si>
    <t>00:28:48,972 --&gt; 00:29:08,892</t>
  </si>
  <si>
    <t>تمام في المثلث متطابق الضلعين اخذناها امس. نضرب نصف القطر في جذر 2 يعطينا الوتر. الضلع اللي هنا هذه بنحتاجها في بعض الاسئلة اعتقد ان شاء الله. واضح هذه اخذناها امس. المثلث متطابق الضلعين. </t>
  </si>
  <si>
    <t>00:29:08,892 --&gt; 00:29:24,692</t>
  </si>
  <si>
    <t>القائم الزاوية متطابق الضلعين. الوتر فيه يساوي طول الضلع في جذر 2. طبعا الضلع عندي هنا اصبح نصف قطر دائرة. عشان دخلنا الموضوع الان في الدائرة. طيب نبدأ.</t>
  </si>
  <si>
    <t>00:29:27,472 --&gt; 00:29:50,312</t>
  </si>
  <si>
    <t> اول شيء لازم تحدد طول المستطيل.</t>
  </si>
  <si>
    <t>00:29:53,212 --&gt; 00:30:07,432</t>
  </si>
  <si>
    <t> لازم تحدد طول المستطيل. اعطاك مساحته واعطاك محيطه. طبعا محيطه لو قسمتها على اثنين بيعطيك الطول مع العرض. يعني </t>
  </si>
  <si>
    <t>00:30:07,432 --&gt; 00:30:28,216</t>
  </si>
  <si>
    <t>نصف المحيط هو الطول زائد العرض. طيب الطول زائد العرض. الطول والعرض لو ضربناهم يعطيني 24 اجابات اغلبها صحيحة. يضربوا اجييكم. طيب من اللي بيطلب الستيج يا شباب؟برضو ممتازين. احد بيطلب زي مايك اسف </t>
  </si>
  <si>
    <t>00:30:28,216 --&gt; 00:30:32,016</t>
  </si>
  <si>
    <t>احد يطلب مايك. </t>
  </si>
  <si>
    <t>00:30:32,016 --&gt; 00:30:33,616</t>
  </si>
  <si>
    <t>طيب </t>
  </si>
  <si>
    <t>00:30:33,656 --&gt; 00:30:39,335</t>
  </si>
  <si>
    <t>جيم ما بيطلب فارس لا تفضل يا فارس بسرعة. </t>
  </si>
  <si>
    <t>00:30:39,336 --&gt; 00:30:40,936</t>
  </si>
  <si>
    <t>يا </t>
  </si>
  <si>
    <t>00:30:40,936 --&gt; 00:30:42,536</t>
  </si>
  <si>
    <t>اخي </t>
  </si>
  <si>
    <t>00:30:42,536 --&gt; 00:30:46,906</t>
  </si>
  <si>
    <t>جربت الارقام يا استاذ. </t>
  </si>
  <si>
    <t>00:30:46,906 --&gt; 00:31:13,896</t>
  </si>
  <si>
    <t>جربت الارقام. ايوه ممتاز. اذا انت تبغا ايش طول القطر صح؟ ايوه الخيار الاول. الاول حطيت ذا واحد بالقطر بواحد. اذا هذا بواحد وهذا بواحد. ثلاثة. وهنا واحد. وهنا واحد اثنين ما تعطيني اربعة وعشرين. ولو جمعتهم وضربتهم في اثنين ما يعطوني عشرين. ممتاز. ايوه بعدها ايش سويت؟ </t>
  </si>
  <si>
    <t>00:31:13,896 --&gt; 00:31:16,896</t>
  </si>
  <si>
    <t>تصير في المدن الثانيه ثمانيه. </t>
  </si>
  <si>
    <t>00:31:16,896 --&gt; 00:31:22,916</t>
  </si>
  <si>
    <t>اثنين. حطيتها باثنين وهذا باثنين وهذا باثنين. اذا هذا جاء كم. ستة. صح. </t>
  </si>
  <si>
    <t>00:31:22,916 --&gt; 00:31:23,286</t>
  </si>
  <si>
    <t>ستة. </t>
  </si>
  <si>
    <t>00:31:23,286 --&gt; 00:31:24,836</t>
  </si>
  <si>
    <t>ايوه </t>
  </si>
  <si>
    <t>00:31:24,836 --&gt; 00:31:31,276</t>
  </si>
  <si>
    <t>وهذا بثنين. وهذا بثنين. اذا طول هذا اربعة. اربعة بستة باربعة وعشرين صح. </t>
  </si>
  <si>
    <t>00:31:31,276 --&gt; 00:31:33,196</t>
  </si>
  <si>
    <t>باربعة وعشرين. </t>
  </si>
  <si>
    <t>00:31:33,196 --&gt; 00:31:36,136</t>
  </si>
  <si>
    <t>واربعة زائد ستة. </t>
  </si>
  <si>
    <t>00:31:36,136 --&gt; 00:31:38,836</t>
  </si>
  <si>
    <t>اربعة زائد ستة ابعة وعشرين. </t>
  </si>
  <si>
    <t>00:31:38,836 --&gt; 00:31:56,656</t>
  </si>
  <si>
    <t>لا اربعة زائد ستة بعشرة وهنا اربعة وهنا ستة يعني يعطيني المحيط عشرين. ما هو المحيط؟ المحيط هو مجموع طول الاضراع صح؟ ايوه ايوه لما يجمع اربعة زائد ستة بعشرة وهذي ايضا عشرة يعني يعطيني عشرين. اذا طريقتك ممتازة. </t>
  </si>
  <si>
    <t>00:31:56,656 --&gt; 00:31:57,526</t>
  </si>
  <si>
    <t>الطريقه صحيحه. </t>
  </si>
  <si>
    <t>00:31:57,526 --&gt; 00:32:05,536</t>
  </si>
  <si>
    <t>طريقتك صحيحه بعطيك لكن يلا ركز معي كفو يا فارس بيض على وجهك ركز معي </t>
  </si>
  <si>
    <t>00:32:05,536 --&gt; 00:32:39,796</t>
  </si>
  <si>
    <t>وطريقتك صحيحه وسليم ما فيها شي. طيب عندي طول الطول زائد العرض كم يساوي؟ يساوي 10 اللي هو نصف المحيط. وعندي المساحة اللي هي الطول ضرب العرض يساوي كم? اربعة وعشرين. فعندي اصبح معادلتين ممكن اعوض عن معادله عن معادله من معادله في معادله. فمثلا لو اخذنا ان الطول يساوي </t>
  </si>
  <si>
    <t>00:32:39,796 --&gt; 00:32:44,116</t>
  </si>
  <si>
    <t>اربعة وعشرين تقسيم العرض </t>
  </si>
  <si>
    <t>00:32:44,116 --&gt; 00:32:48,416</t>
  </si>
  <si>
    <t>فنعوض في المعادلة اللي هنا يصبح اربعة وعشرين </t>
  </si>
  <si>
    <t>00:32:48,416 --&gt; 00:32:57,956</t>
  </si>
  <si>
    <t>تقسيم العرض زائد العرض يعطينا عشرة. هذه طريقه وممكن اقول </t>
  </si>
  <si>
    <t>00:32:57,956 --&gt; 00:33:11,076</t>
  </si>
  <si>
    <t>انتبهوا معي ان الطول يساوي العشرة ناقص العرض ونعوض بها في المعادله الثانيه تصبح ايش؟ عشرة. ناقص العرض </t>
  </si>
  <si>
    <t>00:33:11,076 --&gt; 00:33:16,495</t>
  </si>
  <si>
    <t>اللي هو هذا ضرب العرض يساوي اربعة </t>
  </si>
  <si>
    <t>00:33:16,496 --&gt; 00:34:05,216</t>
  </si>
  <si>
    <t>وعشرين. هذه اسهل المعادلة. اذا العرض ضرب 10 بعشرة ضاد وضاد في ضاد بضاد تربيع. ولكن المعادلة هنا تعطيني معادلة من الدرجه الثانيه بكون فيها ضاد تربيع وفيها جذر تربيعي. فطريقتك في التجريب هي ممتازه. او بالحساب الذهني يعني ابغى عددين اجمعهم يعطوني 10 اضربهم يعطوني اربعة وعشرين. شوف الاعداد اللي يضربهم يعطوني اربعة وعشرين. هذه ممكن اسهل طريقه عندي اثنين في 12. طيب لو اعطوني اربعة وعشرين لكن لو جمعتهم يعطوني عشره اللي هو نصف المحيط. لا. طيب عندي ثلاثه في ثمانيه يعطوني اربعة وعشرين لكن ثلاثه زائد ثمانيه يعطوني عشره اللي هو نصف المحيط عندي ايضا. وين رحنا اربعه ضرب ستة </t>
  </si>
  <si>
    <t>00:34:05,216 --&gt; 00:34:23,235</t>
  </si>
  <si>
    <t>يعطوني أربعة وعشرين ولو جمعتهم يعطوني 10. اذا هي الاجابة الصحيحة اذا ان هذا 6 وهذا 4. طيب يا استاذ ما طلب طول الضلع هو طلب قطر الدائره. اذا السته تحتها ثلاث دوائر راح اقسمها على ثلاثه. </t>
  </si>
  <si>
    <t>00:34:23,235 --&gt; 00:34:27,596</t>
  </si>
  <si>
    <t>واضح يا شباب واضح </t>
  </si>
  <si>
    <t>00:34:27,596 --&gt; 00:34:48,315</t>
  </si>
  <si>
    <t>بس هذه المعادلات انا بغيتها يعني لو حليناها بالمعادلات بتكون صعبه وطويله ما تحل الا بالمعادلات. لكن بالحساب الذهني الحساب العددي السريع تكون المسألة سهلة اذا نعيدها. عندي عددين اضربهم يعطوني اربعة وعشرين ولو جمعتهم يعطوني عشره.</t>
  </si>
  <si>
    <t>00:34:50,396 --&gt; 00:36:26,936</t>
  </si>
  <si>
    <t> روح شوف الاعداد اللي يضربهم يعطوني اربعة وعشرين. هذه جبناها هنا كلها وجربناها لقينا ان 4 ضرب 6 ب 24 ومجموعهم 10. اذا هذا الحل الصحيح. طيب الاربعة وين بكون؟ بكون في العرض والسته بكون في الطول. طيب عندي هنا دائرتين. وعندي هنا ثلاث دوائر. اذا الاربعة هذي تنقسم على اثنين بتكون ذي اثنين وهذه اثنين. والستة ايضا تنقسم على ثلاثة اثنين اثنين اثنين. طيب اذا القطر بيساوي اثنين ولو طلب نصف القطر بكون يساوي واحد. معلش اني طولت فيه بس على اساس ابين لك ان الموضوع سهل. يلا تدريبات جماعية يا شباب. بحديث الصفحة. تمام.</t>
  </si>
  <si>
    <t>00:36:32,886 --&gt; 00:37:40,866</t>
  </si>
  <si>
    <t>يالله يا شباب </t>
  </si>
  <si>
    <t>00:37:40,866 --&gt; 00:39:04,625</t>
  </si>
  <si>
    <t>بالسؤال. ما شاء الله. الإجابات الخاطئة أكثر. </t>
  </si>
  <si>
    <t>00:39:06,026 --&gt; 00:39:15,066</t>
  </si>
  <si>
    <t>يلا يا شباب عشان الوقت.</t>
  </si>
  <si>
    <t>00:39:22,306 --&gt; 00:39:25,846</t>
  </si>
  <si>
    <t> سريعا.</t>
  </si>
  <si>
    <t>00:39:31,266 --&gt; 00:39:39,785</t>
  </si>
  <si>
    <t> اسئلة مهمة جدا تكررت وهي ترى من أقوى الأسئلة اللي يمكن في الهندسة </t>
  </si>
  <si>
    <t>00:39:39,786 --&gt; 00:39:45,645</t>
  </si>
  <si>
    <t>في جزئية الدائرة. فيما يخص الدائرة.</t>
  </si>
  <si>
    <t>00:39:49,086 --&gt; 00:40:04,546</t>
  </si>
  <si>
    <t> دقيقة الإجابات. يعني في سؤال واحد إجابات أغلبها صحيحة. باقي الأسئلة أغلبها خاطئة. طيب انتبهوا معي. ركزوا معي بالله. راح. </t>
  </si>
  <si>
    <t>00:40:04,546 --&gt; 00:40:14,106</t>
  </si>
  <si>
    <t>اشرحها سريعا عشان يبقى معنا أقل شي دقيقتين. الحل. الدقيقتين. الحل. الأسئلة اللي بعد شوي. طيب.</t>
  </si>
  <si>
    <t>00:40:21,046 --&gt; 00:40:24,906</t>
  </si>
  <si>
    <t> سريعا. </t>
  </si>
  <si>
    <t>00:40:28,986 --&gt; 00:40:55,666</t>
  </si>
  <si>
    <t>طبعا مجموعة الأبطال أعلى مجموعة. يعطيكم العافية. مجموعة الأبطال فصيل السيد عبد الرحمن السالمي. في ظلال وجيهكم. وشكرا لكم جميعا. انتبهوا معي. طيب هذا السؤال. هذا السؤال يا شباب تكرر معنا كثير. السؤال هذا لو شفنا زاوية سين زاوية محيطية أمامها قوس كبير هذا </t>
  </si>
  <si>
    <t>00:40:55,666 --&gt; 00:41:01,086</t>
  </si>
  <si>
    <t>طيب كم سين. كم قياس سين. هي تساوي نصف </t>
  </si>
  <si>
    <t>00:41:01,086 --&gt; 00:41:35,846</t>
  </si>
  <si>
    <t>القوس المقابل لها نصف قياس القوس المقابل لها. طيب لو شفنا القياس القوس المقابل لها. عندي هنا قوس نصف الدائرة اللي هو 180. اذا بجمع 180 زائد القوس اللي هنا. خلني اغير اللون عشان يكون واضح معكم. القوس اللي هنا اللي هو مقابل الزاوية 60. ولاحظ ان الزاوية 60 ايضا زاوية محيطية هي نصف القوس المقابل لها. اذا هذا القوس 120 </t>
  </si>
  <si>
    <t>00:41:35,846 --&gt; 00:41:52,566</t>
  </si>
  <si>
    <t>والقوس هذا مقابل للزاوية ستين. اذا هذا القوس ضعف الزاوية المحيطية التي تقابلها 120. وهذا القوس 180. اذا بنجمع 180 زائد 120 يعطينا 300. نقسمها على 2 </t>
  </si>
  <si>
    <t>00:41:52,566 --&gt; 00:42:15,346</t>
  </si>
  <si>
    <t>يعطينا س تساوي 150. اذا س تساوي مجموع القوسين قسمت 2. فجمعنا القوسين قسمناها على 2 يعطينا 150. واضح السؤال هذا ولا يفيك شيء. اكتبوا لي في الشات يا شباب بسرعة سريعا. </t>
  </si>
  <si>
    <t>00:42:15,346 --&gt; 00:42:56,573</t>
  </si>
  <si>
    <t>ونروح للي بعده. طيب انتبهوا معي. انا عندي دائرة. اوجد مساحة الدائرة. مساحة الدائرة تساوي نصف القطر تربيع في ط. والله يا فهد ان الوقت يمر بسرعة. عندنا زاوية محيطية مقابلها قوس كبير هو عبارة عن مجموع قوسين. القوس هذا 180.برضو والقوس هذا اللي هنا 120. عشان اضعف الستين هذه. نجمع القوسين ونقسمها على 2 يعطينا 150. يلا نشوف اللي بعده. مساحة الدائرة نصف القطر تربيع في ط. طيب كم نصف القطر؟ نصف القطر اللي هو هنا. هذا طيب. هو نصف ضلع المربع. </t>
  </si>
  <si>
    <t>00:42:56,634 --&gt; 00:44:16,013</t>
  </si>
  <si>
    <t>عبد العزيز يقول ليش س تساوي القوس ما تساوي القوس. زاوية محيطية تساوي نصف القوس يا عبد العزيز. طيب كيف اجيب ضلع المربع؟ لازم اجيب ضلع المربع لو جبت ضلع المربع نصفه هو نصف القطر. طيب انا عندي مثلث ثلاثيني ستيني. طيب الضلع اللي مقابل للستين اعطاني الضلع اللي مقابل للثلاثين. الضلع اللي مقابل للستين. هذا سماه س مثلا س تساوي الضلع المقابل للثلاثين 4 في جذر 3. هذه قاعدة اخذناها امس هو الضلع مضروب. الضلع القائم مضروب في جذر 3 واضح. ولو كان عندي اعطاني الوتر نقسمه على اثنين ونضربه في جذر 3. اذا الضلع المقابل للزاوية 60 هو طول الضلع القائم مضروبا في جذر 3. طيب اذا نصف نصف القطر كم يساوي؟ اللي هو نصف ضلع المربع الذي هو بيكون 4 جذر 3 ونقسمه على 2. هذا نصف القطر يساوي 2 جذر 3. نروح نعوض هنا 2 جذر 3 تربيع في طاء يساوي ربع 2 ب4 وربع جذر 3 يروح الجدر يبقى لي 3 في طاء 4 في 3 ب 12 طا. </t>
  </si>
  <si>
    <t>00:44:16,013 --&gt; 00:44:34,394</t>
  </si>
  <si>
    <t>اللي هو الاجابة دال. نروح للي بعده. عندي هنا القطر مطلوب مني القطر. وعندي ضلع المربع 6. قلنا قطر المربع يساوي 6 في جذر 2 مباشرة. الاجابة دال. عندنا هنا </t>
  </si>
  <si>
    <t>00:44:34,394 --&gt; 00:44:36,374</t>
  </si>
  <si>
    <t>زاوية </t>
  </si>
  <si>
    <t>00:44:36,374 --&gt; 00:45:13,473</t>
  </si>
  <si>
    <t>الزاوية س. لو شفنا هذه الزاوية. الزاوية هذه 90 لانها مرسومة على نصف دائرة والقوسين متطابقين. ايضا الضلعين هذولا متطابقين. اذا باقي معي من من 180 90. 90 راح اقسمها على 2. لان هذه الزاوية تطابق هذه الزاوية يساوي 35 اللي هي الاجابة دا شوفوا لي هذا السؤال. السؤال هذا عندي زاوية محيطية ولو تلاحظون ان عندي زاوية مماسية لو جبت هذه هي نفسها س </t>
  </si>
  <si>
    <t>00:45:13,473 --&gt; 00:45:34,754</t>
  </si>
  <si>
    <t>ما عليك من الشخبطه هذه والاضلاع. لو جبت هذه هي نفسها س. طيب كيف اجيب هذه السالف المثلث هذا متطابق الضلعين. نقص 180. ناقص 64 يبقى 100 و400 180. ناقص اربعة وستين يبقى مية وستاش. </t>
  </si>
  <si>
    <t>00:45:34,754 --&gt; 00:45:59,754</t>
  </si>
  <si>
    <t>المية وستاش راح اقسمها على اثنين. هنا تكون هذه ثمانية وخمسين. وهذه ثمانية وخمسين. وقلنا ان الزاوية المحيطية تساوي الزاوية المماسية التي على نفس القوس. الزاوية المحيطية تساوي الزاوية المماسية اذا س تساوي ثمانية وخمسين. نروح مباشرة لتحقق الفهم. بسم الله يا شباب. </t>
  </si>
  <si>
    <t>00:46:00,874 --&gt; 00:46:09,674</t>
  </si>
  <si>
    <t>راح ناخذ فوق الوقت دقيقتين. الاسئلة سهله لا تفوتون. لا تفوتون. اسئلة سهلة كلها.</t>
  </si>
  <si>
    <t>00:46:12,433 --&gt; 00:46:20,433</t>
  </si>
  <si>
    <t> بناخد فوق الوقت يعني دقيقه الى دقيقتين. </t>
  </si>
  <si>
    <t>00:46:23,473 --&gt; 00:46:29,874</t>
  </si>
  <si>
    <t>انا اعطاك الاربعة والستة جاهزه. </t>
  </si>
  <si>
    <t>00:46:29,874 --&gt; 00:46:40,033</t>
  </si>
  <si>
    <t>هذا حلينا السؤال. بس هنا اعطاك الاربعة والستة جاهزه ما اعطاك الخبصة هذيك اللي كنا فيها. </t>
  </si>
  <si>
    <t>00:46:40,033 --&gt; 00:46:43,993</t>
  </si>
  <si>
    <t>السؤال الثاني. عندك سين وصاد </t>
  </si>
  <si>
    <t>00:46:43,993 --&gt; 00:46:53,194</t>
  </si>
  <si>
    <t>عندك المثلث متطابق الضلعين. لان الضلع الاول نصف قطر والضلع الثاني نصف قطر. اذا الزاويتين اللي تحت </t>
  </si>
  <si>
    <t>00:46:53,194 --&gt; 00:46:56,413</t>
  </si>
  <si>
    <t>زاويتين. يلا </t>
  </si>
  <si>
    <t>00:46:56,413 --&gt; 00:47:00,792</t>
  </si>
  <si>
    <t>ها لمحت. </t>
  </si>
  <si>
    <t>00:47:00,794 --&gt; 00:47:11,473</t>
  </si>
  <si>
    <t>سريعا. المستطيل اللي داخله دائره </t>
  </si>
  <si>
    <t>00:47:11,473 --&gt; 00:47:26,134</t>
  </si>
  <si>
    <t>ما هو محيط الدائره؟ عندك القطر؟ شوف القطر هل هو ثلاثه ولا اربعه واضربه في طاء؟ سهل شوف القطر. قطر الدائرة هل هو ثلاثه ولا اربعه؟ </t>
  </si>
  <si>
    <t>00:47:26,134 --&gt; 00:47:30,214</t>
  </si>
  <si>
    <t>السؤال الاخير. </t>
  </si>
  <si>
    <t>00:47:30,214 --&gt; 00:47:37,834</t>
  </si>
  <si>
    <t>اوجد قياس القوس ميم نون ولا ميم واو. المثلث متطابق الاضلاع زاويته 60 </t>
  </si>
  <si>
    <t>00:47:37,834 --&gt; 00:48:01,774</t>
  </si>
  <si>
    <t>والزوايا محيطية. اذا القوس ضعف الزاوية المحيطية. القوس المقابل للزاوية المحيطية ضعفها يعني ضربها في اثنين. بس اهم شيء اعرف كم الزاوية المحيطية اصلا. اللي يسمعني خلاص جاوب الاسئلة كل كامله. </t>
  </si>
  <si>
    <t>00:48:06,113 --&gt; 00:48:16,513</t>
  </si>
  <si>
    <t>يا شباب. الدائرة اللي داخلها مثلث وزاوتين س ص. لاحظ ان الضلعين في المثلث هذا نصف قطر. وهذا نصف قطر </t>
  </si>
  <si>
    <t>00:48:16,513 --&gt; 00:48:25,913</t>
  </si>
  <si>
    <t>ونصف القطر متساو متساويين. انصاف الاطار متساوين. اذا المثلث متطابق الضلعين. اذا كان مثلث متطابق الضلعين. </t>
  </si>
  <si>
    <t>00:48:25,913 --&gt; 00:48:31,754</t>
  </si>
  <si>
    <t>اكيد الزاويتين شفيهم. </t>
  </si>
  <si>
    <t>00:48:31,754 --&gt; 00:48:51,774</t>
  </si>
  <si>
    <t>اشكركم جميعا. تقريبا باقي دقيقة. واللي خلص يقدر يغادر. واسف على الدقائق اللي اخذها زيادة. لكن والله من حرصي الشديد على انه الكل يفهم واحاول اجاوب على الشات.</t>
  </si>
  <si>
    <t>00:48:53,894 --&gt; 00:49:02,394</t>
  </si>
  <si>
    <t> فمع هذه الاجواء الطيبة ستعذرونا في الدقيقة أو في الدقيقتين إن شاء الله. اشكركم جميعا. </t>
  </si>
  <si>
    <t>00:49:02,394 --&gt; 00:49:04,513</t>
  </si>
  <si>
    <t>يلا </t>
  </si>
  <si>
    <t>00:49:04,513 --&gt; 00:49:23,714</t>
  </si>
  <si>
    <t>00:49:24,473 --&gt; 00:49:42,374</t>
  </si>
  <si>
    <t>شباب. </t>
  </si>
  <si>
    <t>00:49:42,374 --&gt; 00:49:47,352</t>
  </si>
  <si>
    <t>يعطيكم </t>
  </si>
  <si>
    <t>00:49:55,274 --&gt; 00:49:58,734</t>
  </si>
  <si>
    <t>العافية. تقدرون تغادرون في امان الله. اسالكم.</t>
  </si>
  <si>
    <t>user_id</t>
  </si>
  <si>
    <t>user_name</t>
  </si>
  <si>
    <t>user_type</t>
  </si>
  <si>
    <t>user_sentiment</t>
  </si>
  <si>
    <t>course_session_class_type</t>
  </si>
  <si>
    <t>room_id</t>
  </si>
  <si>
    <t>course_session_id</t>
  </si>
  <si>
    <t>teacher_start_datetime</t>
  </si>
  <si>
    <t>teacher_end_datetime</t>
  </si>
  <si>
    <t>teaching_time</t>
  </si>
  <si>
    <t>session_time</t>
  </si>
  <si>
    <t>room_open_time</t>
  </si>
  <si>
    <t>room_end_time</t>
  </si>
  <si>
    <t>user_enter_time</t>
  </si>
  <si>
    <t>user_exit_time</t>
  </si>
  <si>
    <t>entered_room</t>
  </si>
  <si>
    <t>room_time</t>
  </si>
  <si>
    <t>learning_time</t>
  </si>
  <si>
    <t>lobby_before_time</t>
  </si>
  <si>
    <t>lobby_after_time</t>
  </si>
  <si>
    <t>lobby_time</t>
  </si>
  <si>
    <t>active_time</t>
  </si>
  <si>
    <t>total_polls_seen</t>
  </si>
  <si>
    <t>total_polls_responded</t>
  </si>
  <si>
    <t>total_messages</t>
  </si>
  <si>
    <t>total_hand_raise</t>
  </si>
  <si>
    <t>total_unmutes</t>
  </si>
  <si>
    <t>total_video_on</t>
  </si>
  <si>
    <t>platforms</t>
  </si>
  <si>
    <t>device_ids</t>
  </si>
  <si>
    <t>feature_active_duration</t>
  </si>
  <si>
    <t>feature_active_duration_during_activity</t>
  </si>
  <si>
    <t>course_id</t>
  </si>
  <si>
    <t>teacher_id</t>
  </si>
  <si>
    <t>is_course_session_teacher</t>
  </si>
  <si>
    <t>country_ids</t>
  </si>
  <si>
    <t>country_names</t>
  </si>
  <si>
    <t>classroom_name</t>
  </si>
  <si>
    <t>classroom_description</t>
  </si>
  <si>
    <t>classroom_join_code</t>
  </si>
  <si>
    <t>dt</t>
  </si>
  <si>
    <t>ÿ£. ÿ≠ÿ≥ŸÜ ÿ≥ÿπŸäÿØ</t>
  </si>
  <si>
    <t>FACILITATOR</t>
  </si>
  <si>
    <t>LIVE_CLASS</t>
  </si>
  <si>
    <t>["web"]</t>
  </si>
  <si>
    <t>["7f3454c9-30c0-4fad-9a08-01387b9f765c"]</t>
  </si>
  <si>
    <t>[2]</t>
  </si>
  <si>
    <t>["Saudi Arabia"]</t>
  </si>
  <si>
    <t>ÿ£. ÿ≠ÿ≥ŸÜ ÿ®ŸÜ ÿ≥ÿπŸäÿØ</t>
  </si>
  <si>
    <t>YH2L</t>
  </si>
  <si>
    <t>ÿ®ÿØÿ± ÿßŸÑÿ≠ÿ±ÿ®Ÿä</t>
  </si>
  <si>
    <t>STUDENT</t>
  </si>
  <si>
    <t>positive</t>
  </si>
  <si>
    <t>["android"]</t>
  </si>
  <si>
    <t>["95e2a56f-6eff-4a08-8927-2d22d3102298"]</t>
  </si>
  <si>
    <t>{"ACTIVITY_START":579680,"REACTION":120000}</t>
  </si>
  <si>
    <t>{}</t>
  </si>
  <si>
    <t>ÿ£. ÿπÿ®ÿØÿßŸÑÿ±ÿ≠ŸÖŸÜ ÿßŸÑÿ≥ÿßŸÑŸÖŸä</t>
  </si>
  <si>
    <t>7B3M</t>
  </si>
  <si>
    <t>ÿπÿ®ÿØÿßŸÑŸÖÿ¨ŸäÿØ ÿßŸÑÿ≠ŸÖŸàÿØ</t>
  </si>
  <si>
    <t>["dbe830c2-59d6-401b-9c08-c691e5087fd8"]</t>
  </si>
  <si>
    <t>{"TEAM_CHEER":300000,"REACTION":30000,"SLIDE_PREVIEW":7513,"ACTIVITY_START":65405}</t>
  </si>
  <si>
    <t>{"1396625":{"REACTION":30000,"SLIDE_PREVIEW":7513}}</t>
  </si>
  <si>
    <t>ÿ£. ÿπÿ®ÿØÿßŸÑÿπÿ≤Ÿäÿ≤ ÿßŸÑŸÖŸàÿ≥Ÿâ</t>
  </si>
  <si>
    <t>PG2Q</t>
  </si>
  <si>
    <t>ÿπÿ®ÿØÿßŸÑŸÑŸá ÿßŸÑŸáÿßÿ¨ÿ±Ÿä</t>
  </si>
  <si>
    <t>["e2b772d1-809d-4ec2-bb25-a7e2df012367"]</t>
  </si>
  <si>
    <t>{"REACTION":180000,"TEAM_CHEER":300000,"MESSAGE":163420,"ACTIVITY_START":313644,"ZOOM_IN":20135}</t>
  </si>
  <si>
    <t>{"1396620":{"ZOOM_IN":20135}}</t>
  </si>
  <si>
    <t>ÿ±ŸäÿßŸÜ ÿßŸÑÿπŸÜŸÇÿ±Ÿä</t>
  </si>
  <si>
    <t>["09a93964-5cf0-4615-b62b-366ad77185c1"]</t>
  </si>
  <si>
    <t>{"TEAM_CHEER":300000,"ACTIVITY_START":811808,"REACTION":30000}</t>
  </si>
  <si>
    <t>ŸÅŸáÿØ ÿßŸÑÿ±ÿ¥ŸäÿØŸä</t>
  </si>
  <si>
    <t>["a4faffea-3ef9-466b-b9b0-399e0c4990cf"]</t>
  </si>
  <si>
    <t>{"ACTIVITY_START":197635,"REACTION":90000,"MESSAGE":28659}</t>
  </si>
  <si>
    <t>RHM-IKM-111</t>
  </si>
  <si>
    <t>ÿ£. ÿπÿ®ÿØÿßŸÑŸÑŸá ÿßŸÑÿ¥ŸÖÿ±Ÿä</t>
  </si>
  <si>
    <t>8MNK</t>
  </si>
  <si>
    <t>ÿÆÿßŸÑÿØ ÿßŸÑÿ¨ÿ¥</t>
  </si>
  <si>
    <t>["65830221-da14-4e38-8124-e241262d33df"]</t>
  </si>
  <si>
    <t>{"TEAM_CHEER":300000,"REACTION":180000,"ACTIVITY_START":454267,"MESSAGE":60000,"STUDENT_CHEER":30000,"STAGE_TIME":127655,"ZOOM_IN":60491}</t>
  </si>
  <si>
    <t>{"1396621":{"ZOOM_IN":60491}}</t>
  </si>
  <si>
    <t>ŸÅÿßÿ±ÿ≥ ÿπŸàÿ∂Ÿá</t>
  </si>
  <si>
    <t>neutral</t>
  </si>
  <si>
    <t>["5414dcf2-886e-469c-a5db-aad7f21e6648"]</t>
  </si>
  <si>
    <t>{"REACTION":265783,"TEAM_CHEER":295713,"MESSAGE":680725,"ACTIVITY_START":457438,"STAGE_TIME":213802,"STUDENT_CHEER":60000,"SLIDE_PREVIEW":5629,"ZOOM_IN":19620}</t>
  </si>
  <si>
    <t>ÿ£. ŸÜŸàÿßŸÅ ÿßŸÑŸÇŸÖŸäÿπ</t>
  </si>
  <si>
    <t>["367892a3-19bb-4418-bde9-5e058b26207f"]</t>
  </si>
  <si>
    <t>2WXQ</t>
  </si>
  <si>
    <t>ŸÖÿ≠ŸÖÿØ ÿßŸÑŸÅŸàÿßÿ≤</t>
  </si>
  <si>
    <t>["8e906e0b-6a9d-4bfe-b7cc-06f260532b34"]</t>
  </si>
  <si>
    <t>{"ZOOM_IN":59487,"REACTION":30000}</t>
  </si>
  <si>
    <t>ŸÅŸáÿØ ÿßŸÑÿØÿ∫Ÿäÿ¥ŸÖ</t>
  </si>
  <si>
    <t>["50a635f8-bae7-49e8-8993-106961e25a67"]</t>
  </si>
  <si>
    <t>{"ACTIVITY_START":253897,"REACTION":90000,"ZOOM_IN":52413}</t>
  </si>
  <si>
    <t>{"1396621":{"ZOOM_IN":52413}}</t>
  </si>
  <si>
    <t xml:space="preserve">ÿπÿ®ÿØÿßŸÑŸÑŸá ÿ≥ÿπÿØ ÿßŸÑŸÇÿ≠ÿ∑ÿßŸÜŸä </t>
  </si>
  <si>
    <t>["7f163fb4-fb87-4d03-964b-70d7547a59bd"]</t>
  </si>
  <si>
    <t>{"STUDENT_CHEER":24630,"MESSAGE":78700,"ACTIVITY_START":507329,"REACTION":120000,"ZOOM_IN":62970}</t>
  </si>
  <si>
    <t>{"1396621":{"ZOOM_IN":31780},"1396620":{"ZOOM_IN":31190}}</t>
  </si>
  <si>
    <t>ÿßÿ≠ŸÖÿØ ÿßŸÑÿ≤Ÿáÿ±ÿßŸÜŸä</t>
  </si>
  <si>
    <t>["de90334e-7d64-4d85-81b7-50af23946099"]</t>
  </si>
  <si>
    <t>8UQ4</t>
  </si>
  <si>
    <t>ÿπÿ®ÿØÿßŸÑÿπÿ≤Ÿäÿ≤ ÿßŸÑŸÖŸÜŸÇŸàÿ±</t>
  </si>
  <si>
    <t>["92b728f3-4db6-4a7e-bda7-7fbf4bc26c67"]</t>
  </si>
  <si>
    <t>{"TEAM_CHEER":296043,"REACTION":150000,"ACTIVITY_START":338694}</t>
  </si>
  <si>
    <t>ÿ•ÿ®ÿ±ÿßŸáŸäŸÖ ÿ®ŸÜ ÿØÿßŸäŸÑ</t>
  </si>
  <si>
    <t>["1bd1d401-d4bd-4272-ba1f-c0d26794966d"]</t>
  </si>
  <si>
    <t>{"ZOOM_IN":35595,"ACTIVITY_START":155497,"REACTION":45147,"MESSAGE":30000}</t>
  </si>
  <si>
    <t>{"1396621":{"ZOOM_IN":35595}}</t>
  </si>
  <si>
    <t>ŸÅŸáÿØ ÿßŸÑÿ≥ŸÜŸäÿØŸä</t>
  </si>
  <si>
    <t>negative</t>
  </si>
  <si>
    <t>["0ac96dc8-bafa-4afa-b682-3d2243a37634"]</t>
  </si>
  <si>
    <t>{"TEAM_CHEER":300000,"MESSAGE":180000,"SLIDE_PREVIEW":3880,"ACTIVITY_START":562145,"REACTION":120000,"ZOOM_IN":65636}</t>
  </si>
  <si>
    <t>{"1396625":{"SLIDE_PREVIEW":3880}}</t>
  </si>
  <si>
    <t>ŸäŸàÿ≥ŸÅ ÿßŸÑÿ≠ÿ±ÿ®Ÿä</t>
  </si>
  <si>
    <t>["368a6cee-8e52-45e7-9db0-e52987b377e5"]</t>
  </si>
  <si>
    <t>{"SLIDE_PREVIEW":48324,"ACTIVITY_START":382429,"REACTION":60000,"MESSAGE":30000}</t>
  </si>
  <si>
    <t>{"1396622":{"SLIDE_PREVIEW":48324}}</t>
  </si>
  <si>
    <t>ÿ®ŸÜÿØÿ± ÿßŸÑÿ∫ÿßŸÖÿØŸä</t>
  </si>
  <si>
    <t>["0bd75702-8eeb-4042-8089-d5ef884987d5"]</t>
  </si>
  <si>
    <t>{"ACTIVITY_START":811808,"REACTION":120000,"ZOOM_IN":23335}</t>
  </si>
  <si>
    <t>{"1396620":{"ZOOM_IN":23335}}</t>
  </si>
  <si>
    <t xml:space="preserve">ÿ£.ÿπÿ®ÿØÿßŸÑÿ±ÿ≤ÿßŸÇ ÿßŸÑÿ¥ÿ±ŸäŸÅ </t>
  </si>
  <si>
    <t>TEACHER</t>
  </si>
  <si>
    <t>["745c9fea-e435-4d9f-88e4-86c5df3192fc"]</t>
  </si>
  <si>
    <t>ŸÅŸäÿµŸÑ ÿßŸÑÿ®ÿ¥ÿ±Ÿä</t>
  </si>
  <si>
    <t>["22af8b0d-c940-45a8-ab6e-26ba1e5ba793"]</t>
  </si>
  <si>
    <t>{"SLIDE_PREVIEW":13888,"ACTIVITY_START":654730,"REACTION":150000,"MESSAGE":60000}</t>
  </si>
  <si>
    <t>{"1396625":{"SLIDE_PREVIEW":13888}}</t>
  </si>
  <si>
    <t>ÿπÿ®ÿØÿßŸÑÿ±ÿ≠ŸÖŸÜ ÿßŸÑÿ∫ÿßŸÜŸÖ</t>
  </si>
  <si>
    <t>["b73d08aa-3984-43c2-a1fa-748b8b6e5b1d"]</t>
  </si>
  <si>
    <t>{"ACTIVITY_START":428898,"REACTION":120000,"MESSAGE":60000,"ZOOM_IN":35883}</t>
  </si>
  <si>
    <t>{"1396620":{"ZOOM_IN":35883}}</t>
  </si>
  <si>
    <t>ÿπÿ®ÿØÿßŸÑÿπÿ≤Ÿäÿ≤ ÿßŸÑÿπŸÖÿßÿ±</t>
  </si>
  <si>
    <t>["372a279a-00a0-48df-8157-2a72479d7028"]</t>
  </si>
  <si>
    <t>{"REACTION":150000,"TEAM_CHEER":301159,"ZOOM_IN":142897,"ACTIVITY_START":582283,"MESSAGE":30000}</t>
  </si>
  <si>
    <t>{"1396623":{"ZOOM_IN":30000},"1396621":{"ZOOM_IN":81987}}</t>
  </si>
  <si>
    <t>["fa9a2258-f8af-4b25-beff-8afd3afe841b"]</t>
  </si>
  <si>
    <t>ŸäŸàÿ≥ŸÅ ÿßŸÑÿ∫ŸÜÿßŸÖ</t>
  </si>
  <si>
    <t>["95c070ab-3722-46dd-9569-a1f69794944a"]</t>
  </si>
  <si>
    <t>{"ACTIVITY_START":811808,"REACTION":30000}</t>
  </si>
  <si>
    <t>Ÿäÿßÿ≥ÿ± ÿßŸÑÿØŸàÿ≥ÿ±Ÿä</t>
  </si>
  <si>
    <t>["deda385c-a9bf-406f-8118-7e47f3d92240"]</t>
  </si>
  <si>
    <t>{"ACTIVITY_START":443288,"REACTION":150000,"MESSAGE":120000,"TEAM_CHEER":300000}</t>
  </si>
  <si>
    <t>ÿπÿ®ÿØÿßŸÑÿ±ÿ≠ŸÖŸÜ ÿßŸÑÿ≤Ÿáÿ±ÿßŸÜŸä</t>
  </si>
  <si>
    <t>["2169ae16-1a3e-4c5a-9c32-8ae2a703372b"]</t>
  </si>
  <si>
    <t>{"ACTIVITY_START":234965,"ZOOM_IN":80991}</t>
  </si>
  <si>
    <t>{"1396620":{"ZOOM_IN":80991}}</t>
  </si>
  <si>
    <t>["79ee445a-a091-4c84-9a14-c0f7045b5205"]</t>
  </si>
  <si>
    <t>{"ACTIVITY_START":300406}</t>
  </si>
  <si>
    <t>ŸÉÿ±ŸÖ ÿ∫ŸÜÿßŸäŸÖ</t>
  </si>
  <si>
    <t>["8d59d01c-2c48-4bcd-9557-8765d5ea2e5f"]</t>
  </si>
  <si>
    <t>{"REACTION":180000,"TEAM_CHEER":300000,"MESSAGE":222287,"SLIDE_PREVIEW":18140,"ACTIVITY_START":493979,"ZOOM_IN":224359,"STAGE_TIME":112955,"STUDENT_CHEER":30000}</t>
  </si>
  <si>
    <t>{"1396625":{"SLIDE_PREVIEW":10136},"1396620":{"ZOOM_IN":69921}}</t>
  </si>
  <si>
    <t>event_datetime</t>
  </si>
  <si>
    <t>session_slide_id_reaction_made</t>
  </si>
  <si>
    <t>session_slide_id</t>
  </si>
  <si>
    <t>emotion</t>
  </si>
  <si>
    <t>part_of_activity</t>
  </si>
  <si>
    <t>total_reactions</t>
  </si>
  <si>
    <t>skip</t>
  </si>
  <si>
    <t>stronger</t>
  </si>
  <si>
    <t>loved</t>
  </si>
  <si>
    <t>confused</t>
  </si>
  <si>
    <t>sad</t>
  </si>
  <si>
    <t>attempt_id</t>
  </si>
  <si>
    <t>poll_type</t>
  </si>
  <si>
    <t>poll_type_2</t>
  </si>
  <si>
    <t>poll_id</t>
  </si>
  <si>
    <t>poll_source</t>
  </si>
  <si>
    <t>on_demand_session_id</t>
  </si>
  <si>
    <t>evaluation_id</t>
  </si>
  <si>
    <t>classroom_activity_id</t>
  </si>
  <si>
    <t>is_course_session_deleted</t>
  </si>
  <si>
    <t>poll_answered</t>
  </si>
  <si>
    <t>poll_seen</t>
  </si>
  <si>
    <t>question_type</t>
  </si>
  <si>
    <t>question_id</t>
  </si>
  <si>
    <t>question_text</t>
  </si>
  <si>
    <t>question_image_flag</t>
  </si>
  <si>
    <t>question_format</t>
  </si>
  <si>
    <t>show_correct_answer</t>
  </si>
  <si>
    <t>choice_type</t>
  </si>
  <si>
    <t>selected_choice_id</t>
  </si>
  <si>
    <t>submitted_choice_text</t>
  </si>
  <si>
    <t>correct_choice_id</t>
  </si>
  <si>
    <t>is_correct_answer</t>
  </si>
  <si>
    <t>poll_start_time</t>
  </si>
  <si>
    <t>poll_end_time</t>
  </si>
  <si>
    <t>poll_duration</t>
  </si>
  <si>
    <t>total_choices_selected</t>
  </si>
  <si>
    <t>creator_id</t>
  </si>
  <si>
    <t>is_poll_deleted</t>
  </si>
  <si>
    <t>poll_created_at</t>
  </si>
  <si>
    <t>poll_updated_at</t>
  </si>
  <si>
    <t>choice_submitted_at</t>
  </si>
  <si>
    <t>rn</t>
  </si>
  <si>
    <t>mcq15195867</t>
  </si>
  <si>
    <t>mcq</t>
  </si>
  <si>
    <t>EXIT_TICKET</t>
  </si>
  <si>
    <t>course session</t>
  </si>
  <si>
    <t>has correct answer</t>
  </si>
  <si>
    <t>ŸÖÿ≥ÿ™ÿ∑ŸäŸÑ ÿØÿßÿÆŸÑŸá Ÿ¶ ÿØŸàÿßÿ¶ÿ± ŸÖÿ™ÿ∑ÿßÿ®ŸÇÿ© ÿå ÿ£Ÿàÿ¨ÿØ ŸÇÿ∑ÿ± ÿßŸÑÿØÿßÿ¶ÿ±ÿ© ÿü</t>
  </si>
  <si>
    <t>image and text</t>
  </si>
  <si>
    <t>MCQ</t>
  </si>
  <si>
    <t>mcq15195993</t>
  </si>
  <si>
    <t>(All)</t>
  </si>
  <si>
    <t>mcq15195818</t>
  </si>
  <si>
    <t>mcq15195820</t>
  </si>
  <si>
    <t>Row Labels</t>
  </si>
  <si>
    <t>Sum of is_correct_answer</t>
  </si>
  <si>
    <t>Sum of poll_answered</t>
  </si>
  <si>
    <t>Count of user_id</t>
  </si>
  <si>
    <t>mcq15195870</t>
  </si>
  <si>
    <t>mcq15195862</t>
  </si>
  <si>
    <t>mcq15195924</t>
  </si>
  <si>
    <t>mcq15196018</t>
  </si>
  <si>
    <t>mcq15195960</t>
  </si>
  <si>
    <t>mcq15195814</t>
  </si>
  <si>
    <t>mcq15195830</t>
  </si>
  <si>
    <t>Grand Total</t>
  </si>
  <si>
    <t>mcq15195899</t>
  </si>
  <si>
    <t>mcq15195821</t>
  </si>
  <si>
    <t>mcq15195817</t>
  </si>
  <si>
    <t>mcq15195815</t>
  </si>
  <si>
    <t>mcq15195833</t>
  </si>
  <si>
    <t>mcq15195836</t>
  </si>
  <si>
    <t>mcq15193754</t>
  </si>
  <si>
    <t>TEAM_EXERCISE</t>
  </si>
  <si>
    <t>ÿ£Ÿàÿ¨ÿØ ŸÖÿ≥ÿßÿ≠ÿ© ÿßŸÑÿØÿßÿ¶ÿ±ÿ©&amp;nbsp;</t>
  </si>
  <si>
    <t>mcq15194043</t>
  </si>
  <si>
    <t>mcq15193723</t>
  </si>
  <si>
    <t>mcq15193939</t>
  </si>
  <si>
    <t>mcq15193868</t>
  </si>
  <si>
    <t>mcq15193841</t>
  </si>
  <si>
    <t>mcq15194266</t>
  </si>
  <si>
    <t>mcq15193714</t>
  </si>
  <si>
    <t>mcq15193778</t>
  </si>
  <si>
    <t>mcq15193782</t>
  </si>
  <si>
    <t>mcq15193732</t>
  </si>
  <si>
    <t>mcq15193927</t>
  </si>
  <si>
    <t>mcq15193794</t>
  </si>
  <si>
    <t>mcq15193756</t>
  </si>
  <si>
    <t>mcq15193763</t>
  </si>
  <si>
    <t>mcq15194040</t>
  </si>
  <si>
    <t>mcq15193770</t>
  </si>
  <si>
    <t>mcq15193700</t>
  </si>
  <si>
    <t>mcq15189312</t>
  </si>
  <si>
    <t>SECTION_CHECK</t>
  </si>
  <si>
    <t>ÿ£Ÿàÿ¨ÿØ ŸÖÿ≠Ÿäÿ∑ ÿßŸÑŸÖÿ´ŸÑÿ´ ÿü</t>
  </si>
  <si>
    <t>mcq15189225</t>
  </si>
  <si>
    <t>mcq15189227</t>
  </si>
  <si>
    <t>mcq15189238</t>
  </si>
  <si>
    <t>mcq15189315</t>
  </si>
  <si>
    <t>mcq15189319</t>
  </si>
  <si>
    <t>mcq15189228</t>
  </si>
  <si>
    <t>mcq15189229</t>
  </si>
  <si>
    <t>mcq15189233</t>
  </si>
  <si>
    <t>mcq15189236</t>
  </si>
  <si>
    <t>mcq15189317</t>
  </si>
  <si>
    <t>mcq15189230</t>
  </si>
  <si>
    <t>mcq15189224</t>
  </si>
  <si>
    <t>mcq15189318</t>
  </si>
  <si>
    <t>mcq15189235</t>
  </si>
  <si>
    <t>mcq15189232</t>
  </si>
  <si>
    <t>mcq15189313</t>
  </si>
  <si>
    <t>mcq15192083</t>
  </si>
  <si>
    <t>ŸÅŸä ÿßŸÑÿ¥ŸÉŸÑ ÿßŸÑŸÖÿ¨ÿßŸàÿ±:ŸÖÿ≥ÿ™ÿ∑ŸäŸÑ ŸÖÿ≠Ÿäÿ∑Ÿá Ÿ¢Ÿ† ÿå ŸàŸÖÿ≥ÿßÿ≠ÿ™Ÿá Ÿ¢Ÿ§ Ÿàÿ¨ŸÖŸäÿπ ÿßŸÑÿØŸàÿßÿ¶ÿ± ŸÖÿ™ÿ∑ÿßÿ®ŸÇÿ© ÿå ÿßŸàÿ¨ÿØ ÿ∑ŸàŸÑ ŸÇÿ∑ÿ± ÿßŸÑÿØÿßÿ¶ÿ±ÿ© ÿü</t>
  </si>
  <si>
    <t>mcq15191981</t>
  </si>
  <si>
    <t>mcq15191996</t>
  </si>
  <si>
    <t>mcq15191994</t>
  </si>
  <si>
    <t>mcq15191993</t>
  </si>
  <si>
    <t>mcq15192006</t>
  </si>
  <si>
    <t>mcq15191985</t>
  </si>
  <si>
    <t>mcq15191995</t>
  </si>
  <si>
    <t>mcq15191992</t>
  </si>
  <si>
    <t>mcq15191984</t>
  </si>
  <si>
    <t>mcq15191980</t>
  </si>
  <si>
    <t>mcq15191988</t>
  </si>
  <si>
    <t>mcq15191983</t>
  </si>
  <si>
    <t>mcq15192257</t>
  </si>
  <si>
    <t>mcq15191989</t>
  </si>
  <si>
    <t>mcq15191990</t>
  </si>
  <si>
    <t>mcq15191987</t>
  </si>
  <si>
    <t>mcq15191978</t>
  </si>
  <si>
    <t>mcq15192238</t>
  </si>
  <si>
    <t>mcq15191991</t>
  </si>
  <si>
    <t>mcq15195832</t>
  </si>
  <si>
    <t>ŸÖÿß ŸÖÿ≠Ÿäÿ∑ ÿßŸÑÿØÿßÿ¶ÿ±ÿ©ÿü</t>
  </si>
  <si>
    <t>mcq15195935</t>
  </si>
  <si>
    <t>mcq15196020</t>
  </si>
  <si>
    <t>mcq15195926</t>
  </si>
  <si>
    <t>mcq15195823</t>
  </si>
  <si>
    <t>mcq15195877</t>
  </si>
  <si>
    <t>mcq15195952</t>
  </si>
  <si>
    <t>mcq15195816</t>
  </si>
  <si>
    <t>mcq15195819</t>
  </si>
  <si>
    <t>mcq15195849</t>
  </si>
  <si>
    <t>mcq15195829</t>
  </si>
  <si>
    <t>mcq15195864</t>
  </si>
  <si>
    <t>mcq15195825</t>
  </si>
  <si>
    <t>mcq15195912</t>
  </si>
  <si>
    <t>mcq15195884</t>
  </si>
  <si>
    <t>mcq15195963</t>
  </si>
  <si>
    <t>mcq15195841</t>
  </si>
  <si>
    <t>mcq15194047</t>
  </si>
  <si>
    <t>ŸÅŸä ÿßŸÑÿ¥ŸÉŸÑ ÿßŸÑŸÖŸÇÿßÿ®ŸÑ ÿ£Ÿàÿ¨ÿØ ŸÇŸäŸÖÿ© ÿ≥ ÿü</t>
  </si>
  <si>
    <t>mcq15193877</t>
  </si>
  <si>
    <t>mcq15193784</t>
  </si>
  <si>
    <t>mcq15193954</t>
  </si>
  <si>
    <t>mcq15194029</t>
  </si>
  <si>
    <t>mcq15194016</t>
  </si>
  <si>
    <t>mcq15194066</t>
  </si>
  <si>
    <t>mcq15194025</t>
  </si>
  <si>
    <t>mcq15193783</t>
  </si>
  <si>
    <t>mcq15193862</t>
  </si>
  <si>
    <t>mcq15194360</t>
  </si>
  <si>
    <t>mcq15193919</t>
  </si>
  <si>
    <t>mcq15193967</t>
  </si>
  <si>
    <t>mcq15193823</t>
  </si>
  <si>
    <t>mcq15194359</t>
  </si>
  <si>
    <t>mcq15193803</t>
  </si>
  <si>
    <t>mcq15194050</t>
  </si>
  <si>
    <t>mcq15195985</t>
  </si>
  <si>
    <t>&amp;nbsp;ŸÅŸä ÿßŸÑÿ¥ŸÉŸÑ ÿßŸÑŸÖÿ¨ÿßŸàÿ± :&lt;div&gt;&amp;nbsp;ÿ£Ÿàÿ¨ÿØ ŸÇŸäÿßÿ≥ ÿßŸÑŸÇŸàÿ≥&lt;div&gt;&amp;nbsp;&lt;math dir="rtl" xmlns="http://www.w3.org/1998/Math/MathML"&gt;&lt;mi&gt;&amp;#1602;&lt;/mi&gt;&lt;mo&gt;&amp;#160;&lt;/mo&gt;&lt;mfenced&gt;&lt;mover&gt;&lt;mrow&gt;&lt;mi&gt;&amp;#1605;&lt;/mi&gt;&lt;mo&gt;&amp;#160;&lt;/mo&gt;&lt;mi&gt;&amp;#1606;&lt;/mi&gt;&lt;/mrow&gt;&lt;mo&gt;&amp;#9180;&lt;/mo&gt;&lt;/mover&gt;&lt;/mfenced&gt;&lt;/math&gt;&lt;/div&gt;&lt;/div&gt;</t>
  </si>
  <si>
    <t>mcq15195959</t>
  </si>
  <si>
    <t>mcq15195898</t>
  </si>
  <si>
    <t>mcq15196011</t>
  </si>
  <si>
    <t>mcq15195975</t>
  </si>
  <si>
    <t>mcq15195970</t>
  </si>
  <si>
    <t>mcq15195976</t>
  </si>
  <si>
    <t>mcq15195973</t>
  </si>
  <si>
    <t>mcq15195995</t>
  </si>
  <si>
    <t>mcq15195961</t>
  </si>
  <si>
    <t>mcq15195929</t>
  </si>
  <si>
    <t>mcq15195840</t>
  </si>
  <si>
    <t>mcq15195913</t>
  </si>
  <si>
    <t>mcq15195936</t>
  </si>
  <si>
    <t>mcq15194039</t>
  </si>
  <si>
    <t>ÿßŸàÿ¨ÿØ ŸÇŸäÿßÿ≥ ÿßŸÑÿ≤ÿßŸàŸäÿ© ÿ≥&amp;nbsp;</t>
  </si>
  <si>
    <t>mcq15193615</t>
  </si>
  <si>
    <t>mcq15193749</t>
  </si>
  <si>
    <t>mcq15193625</t>
  </si>
  <si>
    <t>mcq15193618</t>
  </si>
  <si>
    <t>mcq15193623</t>
  </si>
  <si>
    <t>mcq15193790</t>
  </si>
  <si>
    <t>mcq15193627</t>
  </si>
  <si>
    <t>mcq15193634</t>
  </si>
  <si>
    <t>mcq15193729</t>
  </si>
  <si>
    <t>mcq15193620</t>
  </si>
  <si>
    <t>mcq15194026</t>
  </si>
  <si>
    <t>mcq15193633</t>
  </si>
  <si>
    <t>mcq15193626</t>
  </si>
  <si>
    <t>mcq15193788</t>
  </si>
  <si>
    <t>mcq15194238</t>
  </si>
  <si>
    <t>mcq15193624</t>
  </si>
  <si>
    <t>mcq15193724</t>
  </si>
  <si>
    <t>mcq15193622</t>
  </si>
  <si>
    <t>mcq15193621</t>
  </si>
  <si>
    <t>mcq15193629</t>
  </si>
  <si>
    <t>mcq15193617</t>
  </si>
  <si>
    <t>mcq15193630</t>
  </si>
  <si>
    <t>mcq15196021</t>
  </si>
  <si>
    <t>ŸÇÿßÿ±ŸÜ ÿ®ŸäŸÜ:ÿßŸÑŸÇŸäŸÖÿ© ÿßŸÑÿ£ŸàŸÑŸâ: ÿ≥      ÿßŸÑŸÇŸäŸÖÿ© ÿßŸÑÿ´ÿßŸÜŸäÿ©: ÿµ</t>
  </si>
  <si>
    <t>mcq15195915</t>
  </si>
  <si>
    <t>mcq15195996</t>
  </si>
  <si>
    <t>mcq15195923</t>
  </si>
  <si>
    <t>mcq15195834</t>
  </si>
  <si>
    <t>mcq15195971</t>
  </si>
  <si>
    <t>mcq15195837</t>
  </si>
  <si>
    <t>mcq15195903</t>
  </si>
  <si>
    <t>mcq15195920</t>
  </si>
  <si>
    <t>mcq15195962</t>
  </si>
  <si>
    <t>mcq15195881</t>
  </si>
  <si>
    <t>mcq15195879</t>
  </si>
  <si>
    <t>mcq15195933</t>
  </si>
  <si>
    <t>mcq15195921</t>
  </si>
  <si>
    <t>mcq15195831</t>
  </si>
  <si>
    <t>mcq15195847</t>
  </si>
  <si>
    <t>mcq15194356</t>
  </si>
  <si>
    <t>ŸÖÿß ŸÇŸäŸÖÿ© ÿ≥ÿü</t>
  </si>
  <si>
    <t>mcq15193948</t>
  </si>
  <si>
    <t>mcq15193889</t>
  </si>
  <si>
    <t>mcq15193873</t>
  </si>
  <si>
    <t>mcq15194354</t>
  </si>
  <si>
    <t>mcq15194012</t>
  </si>
  <si>
    <t>mcq15193886</t>
  </si>
  <si>
    <t>mcq15193947</t>
  </si>
  <si>
    <t>mcq15194065</t>
  </si>
  <si>
    <t>mcq15193817</t>
  </si>
  <si>
    <t>mcq15193776</t>
  </si>
  <si>
    <t>mcq15194041</t>
  </si>
  <si>
    <t>mcq15193771</t>
  </si>
  <si>
    <t>mcq15193791</t>
  </si>
  <si>
    <t>mcq15194020</t>
  </si>
  <si>
    <t>mcq15194028</t>
  </si>
  <si>
    <t>mcq15193808</t>
  </si>
  <si>
    <t>mcq15191255</t>
  </si>
  <si>
    <t>&lt;div&gt;ŸÅŸâ ÿßŸÑÿ¥ŸÉŸÑ ÿßŸÑÿ™ÿßŸÑŸâ ÿØÿßÿ¶ÿ±ÿ© ŸÜÿµŸÅ ŸÇÿ∑ÿ±Ÿáÿß Ÿ£ ÿ≥ŸÖ ÿå&lt;/div&gt;&lt;div&gt;ŸÉŸÖ ÿ≥ŸÜÿ™ŸÖÿ™ÿ±ÿßŸã ŸÖÿ≥ÿßÿ≠ÿ© ÿßŸÑÿ¨ÿ≤ÿ° ÿßŸÑŸÖÿ∏ŸÑŸÑ ÿü&lt;/div&gt;</t>
  </si>
  <si>
    <t>mcq15191221</t>
  </si>
  <si>
    <t>mcq15191215</t>
  </si>
  <si>
    <t>mcq15191218</t>
  </si>
  <si>
    <t>mcq15191214</t>
  </si>
  <si>
    <t>mcq15191260</t>
  </si>
  <si>
    <t>mcq15191287</t>
  </si>
  <si>
    <t>mcq15191217</t>
  </si>
  <si>
    <t>mcq15191224</t>
  </si>
  <si>
    <t>mcq15191374</t>
  </si>
  <si>
    <t>mcq15191226</t>
  </si>
  <si>
    <t>mcq15191216</t>
  </si>
  <si>
    <t>mcq15191229</t>
  </si>
  <si>
    <t>mcq15191281</t>
  </si>
  <si>
    <t>mcq15191219</t>
  </si>
  <si>
    <t>mcq15191378</t>
  </si>
  <si>
    <t>mcq15191377</t>
  </si>
  <si>
    <t>mcq15191225</t>
  </si>
  <si>
    <t>mcq15191379</t>
  </si>
  <si>
    <t>mcq15194300</t>
  </si>
  <si>
    <t>ŸÖÿ±ÿ®ÿπ ÿ∑ŸàŸÑ ÿ∂ŸÑÿπŸá Ÿ¶ ÿ≥ŸÖ ŸàÿØÿßÿÆŸÑŸá ÿ±ÿ®ÿπŸä ÿØÿßÿ¶ÿ±ÿ™ŸäŸÜ ŸÖÿ±ŸÉÿ≤ŸäŸáŸÖÿß ŸÖ ÿå ŸÜ ÿ±ÿ£ÿ≥Ÿä ÿßŸÑŸÖÿ±ÿ®ÿπ ŸÅÿ•ŸÜ ŸÖÿ¨ŸÖŸàÿπ ŸÜÿµŸÅŸä ŸÇÿ∑ÿ±Ÿä ÿ±ÿ®ÿπŸä&amp;nbsp; ÿßŸÑÿØÿßÿ¶ÿ±ÿ™ŸäŸÜ = ......</t>
  </si>
  <si>
    <t>mcq15193891</t>
  </si>
  <si>
    <t>mcq15193871</t>
  </si>
  <si>
    <t>mcq15193743</t>
  </si>
  <si>
    <t>mcq15193842</t>
  </si>
  <si>
    <t>mcq15193806</t>
  </si>
  <si>
    <t>mcq15193836</t>
  </si>
  <si>
    <t>mcq15193781</t>
  </si>
  <si>
    <t>mcq15193811</t>
  </si>
  <si>
    <t>mcq15193888</t>
  </si>
  <si>
    <t>mcq15194290</t>
  </si>
  <si>
    <t>mcq15194007</t>
  </si>
  <si>
    <t>mcq15193941</t>
  </si>
  <si>
    <t>mcq15193940</t>
  </si>
  <si>
    <t>mcq15193762</t>
  </si>
  <si>
    <t>mcq15193789</t>
  </si>
  <si>
    <t>mcq15193825</t>
  </si>
  <si>
    <t>mcq15194063</t>
  </si>
  <si>
    <t>mcq15190258</t>
  </si>
  <si>
    <t>&lt;div&gt;ÿ£Ÿàÿ¨ÿØ ÿ∑ŸàŸÑ ŸÜÿµŸÅ ÿßŸÑŸÇÿ∑ÿ±&lt;/div&gt;&lt;div&gt;&lt;br&gt;&lt;/div&gt;&lt;div&gt;ÿ•ÿ∞ÿß ŸÉÿßŸÜÿ™ ÿ£ÿ® ŸÇÿ∑ÿ± ÿßŸÑÿØÿßÿ¶ÿ±ÿ© :&lt;/div&gt;</t>
  </si>
  <si>
    <t>mcq15190270</t>
  </si>
  <si>
    <t>mcq15190260</t>
  </si>
  <si>
    <t>mcq15190309</t>
  </si>
  <si>
    <t>mcq15190262</t>
  </si>
  <si>
    <t>mcq15190318</t>
  </si>
  <si>
    <t>mcq15190265</t>
  </si>
  <si>
    <t>mcq15190267</t>
  </si>
  <si>
    <t>mcq15190256</t>
  </si>
  <si>
    <t>mcq15190266</t>
  </si>
  <si>
    <t>mcq15190282</t>
  </si>
  <si>
    <t>mcq15190259</t>
  </si>
  <si>
    <t>mcq15190269</t>
  </si>
  <si>
    <t>mcq15190545</t>
  </si>
  <si>
    <t>mcq15190261</t>
  </si>
  <si>
    <t>mcq15190280</t>
  </si>
  <si>
    <t>mcq15190502</t>
  </si>
  <si>
    <t>mcq15190268</t>
  </si>
  <si>
    <t>activity_id</t>
  </si>
  <si>
    <t>session_class_type</t>
  </si>
  <si>
    <t>type</t>
  </si>
  <si>
    <t>start_time</t>
  </si>
  <si>
    <t>end_time</t>
  </si>
  <si>
    <t>activity_happened</t>
  </si>
  <si>
    <t>created_at</t>
  </si>
  <si>
    <t>planned_duration</t>
  </si>
  <si>
    <t>duration</t>
  </si>
  <si>
    <t>mcq_ids</t>
  </si>
  <si>
    <t>question_ids</t>
  </si>
  <si>
    <t>room_ids</t>
  </si>
  <si>
    <t>total_mcqs</t>
  </si>
  <si>
    <t>mcq_types</t>
  </si>
  <si>
    <t>[342127]</t>
  </si>
  <si>
    <t>[323256]</t>
  </si>
  <si>
    <t>[54332]</t>
  </si>
  <si>
    <t>["MCQ"]</t>
  </si>
  <si>
    <t>[342123, 342119, 342120, 342121, 342122]</t>
  </si>
  <si>
    <t>[367083, 339665, 347331, 334117, 334118]</t>
  </si>
  <si>
    <t>[342115, 342116, 342117, 342118]</t>
  </si>
  <si>
    <t>[321509, 321830, 319911, 18098]</t>
  </si>
  <si>
    <t>[342125]</t>
  </si>
  <si>
    <t>[339211]</t>
  </si>
  <si>
    <t>[342126]</t>
  </si>
  <si>
    <t>[339432]</t>
  </si>
  <si>
    <t>[342124]</t>
  </si>
  <si>
    <t>[322117]</t>
  </si>
  <si>
    <t>op</t>
  </si>
  <si>
    <t>timestamp_dms</t>
  </si>
  <si>
    <t>_id</t>
  </si>
  <si>
    <t>message_id</t>
  </si>
  <si>
    <t>message_text</t>
  </si>
  <si>
    <t>chat_id</t>
  </si>
  <si>
    <t>creator_name</t>
  </si>
  <si>
    <t>creator_avatar_url</t>
  </si>
  <si>
    <t>created_at_ms</t>
  </si>
  <si>
    <t>created_at_ts</t>
  </si>
  <si>
    <t>_doc</t>
  </si>
  <si>
    <t>I</t>
  </si>
  <si>
    <t>6940eeceb7e9a1769e0962e8</t>
  </si>
  <si>
    <t>77e7d25d-21fe-45e2-801d-5211ac21f15f</t>
  </si>
  <si>
    <t>ÿßŸÑÿµŸàÿ™ ŸäŸÇÿ∑ÿπ</t>
  </si>
  <si>
    <t>731f4273-a000-45da-b73c-049e6b683305</t>
  </si>
  <si>
    <t>{ "_id" : { "$oid" : "6940eeceb7e9a1769e0962e8" }, "id" : "77e7d25d-21fe-45e2-801d-5211ac21f15f", "text" : "ÿßŸÑÿµŸàÿ™ ŸäŸÇÿ∑ÿπ", "chat_id" : "731f4273-a000-45da-b73c-049e6b683305", "creator_id" : 652934, "user_type" : "STUDENT", "metadata" : { "courseSessionId" : 70690 }, "creator_metadata" : { "name" : "ÿπÿ®ÿØÿßŸÑŸÑŸá ÿßŸÑŸáÿßÿ¨ÿ±Ÿä", "avatarUrl" : { "url" : "https://cdn.studyatnoon.com/public/school_student/652934/fd4bf2e8-3c23-4481-b3e2-2d9e010383ce_thumbnail.jpeg" } }, "created_at" : { "$date" : 1765863118082 }, "_class" : "com.noon.noon2.entity.chat.ChatMessage" }</t>
  </si>
  <si>
    <t>6940f33db7e9a1769e09805f</t>
  </si>
  <si>
    <t>afe5411a-a1d2-407b-8c1f-371a2b78b3a7</t>
  </si>
  <si>
    <t>ÿßŸäŸá</t>
  </si>
  <si>
    <t>{ "_id" : { "$oid" : "6940f33db7e9a1769e09805f" }, "id" : "afe5411a-a1d2-407b-8c1f-371a2b78b3a7", "text" : "ÿßŸäŸá",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1765864253761 }, "_class" : "com.noon.noon2.entity.chat.ChatMessage" }</t>
  </si>
  <si>
    <t>6940f807b7e9a1769e09af5a</t>
  </si>
  <si>
    <t>d1809ee3-77a5-4df4-87cb-453c9ae7dd9b</t>
  </si>
  <si>
    <t>ŸÅŸáŸÖÿ™</t>
  </si>
  <si>
    <t>{ "_id" : { "$oid" : "6940f807b7e9a1769e09af5a" }, "id" : "d1809ee3-77a5-4df4-87cb-453c9ae7dd9b", "text" : "ŸÅŸáŸÖÿ™", "chat_id" : "731f4273-a000-45da-b73c-049e6b683305", "creator_id" : 648951, "user_type" : "STUDENT", "metadata" : { "courseSessionId" : 70690 }, "creator_metadata" : { "name" : "ÿ•ÿ®ÿ±ÿßŸáŸäŸÖ ÿ®ŸÜ ÿØÿßŸäŸÑ", "avatarUrl" : { "url" : "https://cdn.non.sa/images/avatar/male/1.png" } }, "created_at" : { "$date" : 1765865479199 }, "_class" : "com.noon.noon2.entity.chat.ChatMessage" }</t>
  </si>
  <si>
    <t>6940eedfb7e9a1769e09632a</t>
  </si>
  <si>
    <t>c2f7180a-9063-419d-a485-e1a49c4176aa</t>
  </si>
  <si>
    <t>ŸÑÿß</t>
  </si>
  <si>
    <t>{ "_id" : { "$oid" : "6940eedfb7e9a1769e09632a" }, "id" : "c2f7180a-9063-419d-a485-e1a49c4176aa", "text" : "ŸÑÿß", "chat_id" : "731f4273-a000-45da-b73c-049e6b683305", "creator_id" : 652934, "user_type" : "STUDENT", "metadata" : { "courseSessionId" : 70690 }, "creator_metadata" : { "name" : "ÿπÿ®ÿØÿßŸÑŸÑŸá ÿßŸÑŸáÿßÿ¨ÿ±Ÿä", "avatarUrl" : { "url" : "https://cdn.studyatnoon.com/public/school_student/652934/fd4bf2e8-3c23-4481-b3e2-2d9e010383ce_thumbnail.jpeg" } }, "created_at" : { "$date" : 1765863135847 }, "_class" : "com.noon.noon2.entity.chat.ChatMessage" }</t>
  </si>
  <si>
    <t>6940f45db7e9a1769e09896c</t>
  </si>
  <si>
    <t>de6463d1-a255-4d69-b9f4-9ba750e3e7fb</t>
  </si>
  <si>
    <t>Ÿàÿßÿ∂ÿ≠ ÿπÿ±ŸÅÿ™ ÿÆÿ∑ÿ¶Ÿä</t>
  </si>
  <si>
    <t>{ "_id" : { "$oid" : "6940f45db7e9a1769e09896c" }, "id" : "de6463d1-a255-4d69-b9f4-9ba750e3e7fb", "text" : "Ÿàÿßÿ∂ÿ≠ ÿπÿ±ŸÅÿ™ ÿÆÿ∑ÿ¶Ÿä",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1765864541715 }, "_class" : "com.noon.noon2.entity.chat.ChatMessage" }</t>
  </si>
  <si>
    <t>6940eee6b7e9a1769e096362</t>
  </si>
  <si>
    <t>2221d01e-62a4-4a13-b524-241b2b9873e3</t>
  </si>
  <si>
    <t>ÿµŸàÿ™ ŸäŸÇÿ∑ÿπ</t>
  </si>
  <si>
    <t>{ "_id" : { "$oid" : "6940eee6b7e9a1769e096362" }, "id" : "2221d01e-62a4-4a13-b524-241b2b9873e3", "text" : "ÿµŸàÿ™ ŸäŸÇÿ∑ÿπ", "chat_id" : "731f4273-a000-45da-b73c-049e6b683305", "creator_id" : 648959, "user_type" : "STUDENT", "metadata" : { "courseSessionId" : 70690 }, "creator_metadata" : { "name" : "ŸÉÿ±ŸÖ ÿ∫ŸÜÿßŸäŸÖ", "avatarUrl" : { "url" : "https://cdn.studyatnoon.com/public/school_student/648959/52ad66e3-3d8e-4c9b-a8a2-98b299b1deed_thumbnail.jpeg" } }, "created_at" : { "$date" : 1765863142198 }, "_class" : "com.noon.noon2.entity.chat.ChatMessage" }</t>
  </si>
  <si>
    <t>6940f26db7e9a1769e0978c3</t>
  </si>
  <si>
    <t>1d6879ec-cb18-448e-ad3f-6206f88266b8</t>
  </si>
  <si>
    <t>{ "_id" : { "$oid" : "6940f26db7e9a1769e0978c3" }, "id" : "1d6879ec-cb18-448e-ad3f-6206f88266b8", "text" : "40",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1765864045636 }, "_class" : "com.noon.noon2.entity.chat.ChatMessage" }</t>
  </si>
  <si>
    <t>6940f237b7e9a1769e097715</t>
  </si>
  <si>
    <t>84023a34-4c5e-453c-89ee-4868750c2202</t>
  </si>
  <si>
    <t>ŸÜÿ®Ÿä ÿßÿ≥ÿ¶ŸÑŸá</t>
  </si>
  <si>
    <t>{ "_id" : { "$oid" : "6940f237b7e9a1769e097715" }, "id" : "84023a34-4c5e-453c-89ee-4868750c2202", "text" : "ŸÜÿ®Ÿä ÿßÿ≥ÿ¶ŸÑŸá",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1765863991055 }, "_class" : "com.noon.noon2.entity.chat.ChatMessage" }</t>
  </si>
  <si>
    <t>6940f622b7e9a1769e099c07</t>
  </si>
  <si>
    <t>f15e169a-86f9-496a-8856-9f1c0379a38d</t>
  </si>
  <si>
    <t>ŸÜÿ®Ÿä ÿ≠ÿ®ÿßÿ±</t>
  </si>
  <si>
    <t>{ "_id" : { "$oid" : "6940f622b7e9a1769e099c07" }, "id" : "f15e169a-86f9-496a-8856-9f1c0379a38d", "text" : "ŸÜÿ®Ÿä ÿ≠ÿ®ÿßÿ±", "chat_id" : "731f4273-a000-45da-b73c-049e6b683305", "creator_id" : 652958, "user_type" : "STUDENT", "metadata" : { "courseSessionId" : 70690 }, "creator_metadata" : { "name" : "ŸÅŸáÿØ ÿßŸÑÿ±ÿ¥ŸäÿØŸä", "avatarUrl" : { "url" : "https://cdn.non.sa/images/avatar/male/4.png" } }, "created_at" : { "$date" : 1765864994669 }, "_class" : "com.noon.noon2.entity.chat.ChatMessage" }</t>
  </si>
  <si>
    <t>6940f457b7e9a1769e098937</t>
  </si>
  <si>
    <t>c3ab0c78-c95c-4dd9-bf67-ef91c82265e6</t>
  </si>
  <si>
    <t>Ÿàÿßÿ∂ÿ≠</t>
  </si>
  <si>
    <t>{ "_id" : { "$oid" : "6940f457b7e9a1769e098937" }, "id" : "c3ab0c78-c95c-4dd9-bf67-ef91c82265e6", "text" : "Ÿàÿßÿ∂ÿ≠", "chat_id" : "731f4273-a000-45da-b73c-049e6b683305", "creator_id" : 647499, "user_type" : "STUDENT", "metadata" : { "courseSessionId" : 70690 }, "creator_metadata" : { "name" : "ÿπÿ®ÿØÿßŸÑÿ±ÿ≠ŸÖŸÜ ÿßŸÑÿ∫ÿßŸÜŸÖ", "avatarUrl" : { "url" : "https://cdn.studyatnoon.com/public/school_student/647499/ce667997-10c3-4998-a42b-f2051d491a6f_thumbnail.jpeg" } }, "created_at" : { "$date" : 1765864535329 }, "_class" : "com.noon.noon2.entity.chat.ChatMessage" }</t>
  </si>
  <si>
    <t>6940eecab7e9a1769e0962b1</t>
  </si>
  <si>
    <t>6b9e37c2-9cc4-4ee7-90d7-f3ca58a15c92</t>
  </si>
  <si>
    <t>ŸÖÿØÿ±Ÿä Ÿàÿ¥ ÿ™ŸÇŸàŸÑ</t>
  </si>
  <si>
    <t>{ "_id" : { "$oid" : "6940eecab7e9a1769e0962b1" }, "id" : "6b9e37c2-9cc4-4ee7-90d7-f3ca58a15c92", "text" : "ŸÖÿØÿ±Ÿä Ÿàÿ¥ ÿ™ŸÇŸàŸÑ",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1765863114556 }, "_class" : "com.noon.noon2.entity.chat.ChatMessage" }</t>
  </si>
  <si>
    <t>6940f0b6b7e9a1769e096ca3</t>
  </si>
  <si>
    <t>d558efb9-7cb0-4dcd-86fb-900a06ce63c7</t>
  </si>
  <si>
    <t>ÿßŸÜÿß ŸÖÿß ÿ∑ŸÑÿπÿ™ ŸÑŸä ÿßŸÑÿµŸàÿ±Ÿá</t>
  </si>
  <si>
    <t>{ "_id" : { "$oid" : "6940f0b6b7e9a1769e096ca3" }, "id" : "d558efb9-7cb0-4dcd-86fb-900a06ce63c7", "text" : "ÿßŸÜÿß ŸÖÿß ÿ∑ŸÑÿπÿ™ ŸÑŸä ÿßŸÑÿµŸàÿ±Ÿá", "chat_id" : "731f4273-a000-45da-b73c-049e6b683305", "creator_id" : 657525, "user_type" : "STUDENT", "metadata" : { "courseSessionId" : 70690 }, "creator_metadata" : { "name" : "ŸÅŸáÿØ ÿßŸÑÿ≥ŸÜŸäÿØŸä", "avatarUrl" : { "url" : "https://cdn.non.sa/images/avatar/male/2.png" } }, "created_at" : { "$date" : 1765863606911 }, "_class" : "com.noon.noon2.entity.chat.ChatMessage" }</t>
  </si>
  <si>
    <t>6940f17cb7e9a1769e09716f</t>
  </si>
  <si>
    <t>e64d0a0d-0076-4169-ae81-3acb9d98c5b4</t>
  </si>
  <si>
    <t>{ "_id" : { "$oid" : "6940f17cb7e9a1769e09716f" }, "id" : "e64d0a0d-0076-4169-ae81-3acb9d98c5b4", "text" : "Ÿàÿßÿ∂ÿ≠",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1765863804084 }, "_class" : "com.noon.noon2.entity.chat.ChatMessage" }</t>
  </si>
  <si>
    <t>6940f7f6b7e9a1769e09ae88</t>
  </si>
  <si>
    <t>e0fcc155-8dfd-463a-990e-279e5c1f3cda</t>
  </si>
  <si>
    <t>{ "_id" : { "$oid" : "6940f7f6b7e9a1769e09ae88" }, "id" : "e0fcc155-8dfd-463a-990e-279e5c1f3cda", "text" : "Ÿàÿßÿ∂ÿ≠", "chat_id" : "731f4273-a000-45da-b73c-049e6b683305", "creator_id" : 647306, "user_type" : "STUDENT", "metadata" : { "courseSessionId" : 70690 }, "creator_metadata" : { "name" : "ŸäŸàÿ≥ŸÅ ÿßŸÑÿ≠ÿ±ÿ®Ÿä", "avatarUrl" : { "url" : "https://cdn.studyatnoon.com/public/school_student/647306/c768df7f-345b-44ec-8e47-7b1d1e51ca62_thumbnail.jpeg" } }, "created_at" : { "$date" : 1765865462757 }, "_class" : "com.noon.noon2.entity.chat.ChatMessage" }</t>
  </si>
  <si>
    <t>6940ee9db7e9a1769e09616e</t>
  </si>
  <si>
    <t>071d5319-ebc1-4008-9920-86672a4294b2</t>
  </si>
  <si>
    <t>ÿ≥ŸÑÿßŸÖ ÿπŸÑŸäŸÉŸÖ Ÿàÿ±ÿ≠ŸÖŸá ÿßŸÑŸÑŸá Ÿàÿ®ÿ±ŸÉÿßÿ™Ÿá Ÿäÿß ÿßÿ≥ÿ™ÿßÿ∞ ŸÉŸäŸÅ ÿ≠ÿßŸÑŸÉ ÿ£ŸÜ ÿ¥ÿßÿ° ÿßŸÑŸÑŸá ŸÉŸàŸäÿ≥ üíêüíêüíêüíêüíêüíêüíêüíêüíêüíêüíêüíêüíêüíê</t>
  </si>
  <si>
    <t>{ "_id" : { "$oid" : "6940ee9db7e9a1769e09616e" }, "id" : "071d5319-ebc1-4008-9920-86672a4294b2", "text" : "ÿ≥ŸÑÿßŸÖ ÿπŸÑŸäŸÉŸÖ Ÿàÿ±ÿ≠ŸÖŸá ÿßŸÑŸÑŸá Ÿàÿ®ÿ±ŸÉÿßÿ™Ÿá Ÿäÿß ÿßÿ≥ÿ™ÿßÿ∞ ŸÉŸäŸÅ ÿ≠ÿßŸÑŸÉ ÿ£ŸÜ ÿ¥ÿßÿ° ÿßŸÑŸÑŸá ŸÉŸàŸäÿ≥ üíêüíêüíêüíêüíêüíêüíêüíêüíêüíêüíêüíêüíêüíê", "chat_id" : "731f4273-a000-45da-b73c-049e6b683305", "creator_id" : 648959, "user_type" : "STUDENT", "metadata" : { "courseSessionId" : 70690 }, "creator_metadata" : { "name" : "ŸÉÿ±ŸÖ ÿ∫ŸÜÿßŸäŸÖ", "avatarUrl" : { "url" : "https://cdn.studyatnoon.com/public/school_student/648959/52ad66e3-3d8e-4c9b-a8a2-98b299b1deed_thumbnail.jpeg" } }, "created_at" : { "$date" : 1765863069804 }, "_class" : "com.noon.noon2.entity.chat.ChatMessage" }</t>
  </si>
  <si>
    <t>6940ef3db7e9a1769e09649d</t>
  </si>
  <si>
    <t>ee53128f-64c6-4d62-9d1b-5d3a6176fa98</t>
  </si>
  <si>
    <t>ŸÖŸÖÿ™ÿßÿ≤ ÿßŸÑÿ≠ŸäŸÜ</t>
  </si>
  <si>
    <t>{ "_id" : { "$oid" : "6940ef3db7e9a1769e09649d" }, "id" : "ee53128f-64c6-4d62-9d1b-5d3a6176fa98", "text" : "ŸÖŸÖÿ™ÿßÿ≤ ÿßŸÑÿ≠ŸäŸÜ",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1765863229694 }, "_class" : "com.noon.noon2.entity.chat.ChatMessage" }</t>
  </si>
  <si>
    <t>6940eebab7e9a1769e096264</t>
  </si>
  <si>
    <t>11157e5a-82f7-4c97-9ed9-78387678894e</t>
  </si>
  <si>
    <t>ÿµŸàÿ™ ŸäÿπŸÑŸÇ</t>
  </si>
  <si>
    <t>{ "_id" : { "$oid" : "6940eebab7e9a1769e096264" }, "id" : "11157e5a-82f7-4c97-9ed9-78387678894e", "text" : "ÿµŸàÿ™ ŸäÿπŸÑŸÇ",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1765863098665 }, "_class" : "com.noon.noon2.entity.chat.ChatMessage" }</t>
  </si>
  <si>
    <t>6940f240b7e9a1769e09774d</t>
  </si>
  <si>
    <t>9a09cdfb-3773-458b-905f-ccf5d391d908</t>
  </si>
  <si>
    <t>ÿ™ŸÖÿßŸÖ Ÿàÿßÿ∂ÿ≠</t>
  </si>
  <si>
    <t>{ "_id" : { "$oid" : "6940f240b7e9a1769e09774d" }, "id" : "9a09cdfb-3773-458b-905f-ccf5d391d908", "text" : "ÿ™ŸÖÿßŸÖ Ÿàÿßÿ∂ÿ≠", "chat_id" : "731f4273-a000-45da-b73c-049e6b683305", "creator_id" : 648959, "user_type" : "STUDENT", "metadata" : { "courseSessionId" : 70690 }, "creator_metadata" : { "name" : "ŸÉÿ±ŸÖ ÿ∫ŸÜÿßŸäŸÖ", "avatarUrl" : { "url" : "https://cdn.studyatnoon.com/public/school_student/648959/52ad66e3-3d8e-4c9b-a8a2-98b299b1deed_thumbnail.jpeg" } }, "created_at" : { "$date" : 1765864000653 }, "_class" : "com.noon.noon2.entity.chat.ChatMessage" }</t>
  </si>
  <si>
    <t>6940f45bb7e9a1769e09896b</t>
  </si>
  <si>
    <t>768a0ffa-d2f2-4b74-9d70-a2636287c2f6</t>
  </si>
  <si>
    <t>{ "_id" : { "$oid" : "6940f45bb7e9a1769e09896b" }, "id" : "768a0ffa-d2f2-4b74-9d70-a2636287c2f6", "text" : "Ÿàÿßÿ∂ÿ≠", "chat_id" : "731f4273-a000-45da-b73c-049e6b683305", "creator_id" : 652934, "user_type" : "STUDENT", "metadata" : { "courseSessionId" : 70690 }, "creator_metadata" : { "name" : "ÿπÿ®ÿØÿßŸÑŸÑŸá ÿßŸÑŸáÿßÿ¨ÿ±Ÿä", "avatarUrl" : { "url" : "https://cdn.studyatnoon.com/public/school_student/652934/fd4bf2e8-3c23-4481-b3e2-2d9e010383ce_thumbnail.jpeg" } }, "created_at" : { "$date" : 1765864539563 }, "_class" : "com.noon.noon2.entity.chat.ChatMessage" }</t>
  </si>
  <si>
    <t>6940f251b7e9a1769e0977bc</t>
  </si>
  <si>
    <t>42677de4-7ffe-4f3b-aa8f-327b2bcc0733</t>
  </si>
  <si>
    <t>{ "_id" : { "$oid" : "6940f251b7e9a1769e0977bc" }, "id" : "42677de4-7ffe-4f3b-aa8f-327b2bcc0733", "text" : "40",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1765864017246 }, "_class" : "com.noon.noon2.entity.chat.ChatMessage" }</t>
  </si>
  <si>
    <t>6940ef51b7e9a1769e096507</t>
  </si>
  <si>
    <t>6c3f3cf0-0043-4979-b688-cca7e7f55105</t>
  </si>
  <si>
    <t>ŸäŸÑÿß ÿπŸàÿßŸÅŸä</t>
  </si>
  <si>
    <t>{ "_id" : { "$oid" : "6940ef51b7e9a1769e096507" }, "id" : "6c3f3cf0-0043-4979-b688-cca7e7f55105", "text" : "ŸäŸÑÿß ÿπŸàÿßŸÅŸä",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1765863249819 }, "_class" : "com.noon.noon2.entity.chat.ChatMessage" }</t>
  </si>
  <si>
    <t>6940f216b7e9a1769e09760d</t>
  </si>
  <si>
    <t>ca489ba2-b36d-49e5-a595-3641bff06a1b</t>
  </si>
  <si>
    <t>ÿ™ŸÉŸàŸÜ ŸÇÿßÿ¶ŸÖÿ©?</t>
  </si>
  <si>
    <t>{ "_id" : { "$oid" : "6940f216b7e9a1769e09760d" }, "id" : "ca489ba2-b36d-49e5-a595-3641bff06a1b", "text" : "ÿ™ŸÉŸàŸÜ ŸÇÿßÿ¶ŸÖÿ©?", "chat_id" : "731f4273-a000-45da-b73c-049e6b683305", "creator_id" : 648959, "user_type" : "STUDENT", "metadata" : { "courseSessionId" : 70690 }, "creator_metadata" : { "name" : "ŸÉÿ±ŸÖ ÿ∫ŸÜÿßŸäŸÖ", "avatarUrl" : { "url" : "https://cdn.studyatnoon.com/public/school_student/648959/52ad66e3-3d8e-4c9b-a8a2-98b299b1deed_thumbnail.jpeg" } }, "created_at" : { "$date" : 1765863958366 }, "_class" : "com.noon.noon2.entity.chat.ChatMessage" }</t>
  </si>
  <si>
    <t>6940f457b7e9a1769e098938</t>
  </si>
  <si>
    <t>8be35510-35af-4eba-9316-7c347cc5bb53</t>
  </si>
  <si>
    <t>{ "_id" : { "$oid" : "6940f457b7e9a1769e098938" }, "id" : "8be35510-35af-4eba-9316-7c347cc5bb53", "text" : "Ÿàÿßÿ∂ÿ≠", "chat_id" : "731f4273-a000-45da-b73c-049e6b683305", "creator_id" : 651452, "user_type" : "STUDENT", "metadata" : { "courseSessionId" : 70690 }, "creator_metadata" : { "name" : "Ÿäÿßÿ≥ÿ± ÿßŸÑÿØŸàÿ≥ÿ±Ÿä", "avatarUrl" : { "url" : "https://cdn.studyatnoon.com/public/school_student/651452/68c8730e-3aca-4439-a443-238f88140bbb_thumbnail.jpeg" } }, "created_at" : { "$date" : 1765864535578 }, "_class" : "com.noon.noon2.entity.chat.ChatMessage" }</t>
  </si>
  <si>
    <t>6940eec3b7e9a1769e0962a0</t>
  </si>
  <si>
    <t>b423edd6-15d0-4784-95e7-26102b08d626</t>
  </si>
  <si>
    <t>{ "_id" : { "$oid" : "6940eec3b7e9a1769e0962a0" }, "id" : "b423edd6-15d0-4784-95e7-26102b08d626", "text" : "ÿßŸÑÿµŸàÿ™ ŸäŸÇÿ∑ÿπ", "chat_id" : "731f4273-a000-45da-b73c-049e6b683305", "creator_id" : 647426, "user_type" : "STUDENT", "metadata" : { "courseSessionId" : 70690 }, "creator_metadata" : { "name" : "ÿπÿ®ÿØÿßŸÑŸÑŸá ÿ≥ÿπÿØ ÿßŸÑŸÇÿ≠ÿ∑ÿßŸÜŸä ", "avatarUrl" : { "url" : "https://cdn.studyatnoon.com/public/school_student/647426/8943933c-34e4-4d14-87b7-b6cce6146924_thumbnail.jpeg" } }, "created_at" : { "$date" : 1765863107017 }, "_class" : "com.noon.noon2.entity.chat.ChatMessage" }</t>
  </si>
  <si>
    <t>6940f347b7e9a1769e0980c6</t>
  </si>
  <si>
    <t>a78dc83c-6931-47c6-843c-fb6d5e68f59b</t>
  </si>
  <si>
    <t>ÿØÿ®ŸÑ</t>
  </si>
  <si>
    <t>{ "_id" : { "$oid" : "6940f347b7e9a1769e0980c6" }, "id" : "a78dc83c-6931-47c6-843c-fb6d5e68f59b", "text" : "ÿØÿ®ŸÑ", "chat_id" : "731f4273-a000-45da-b73c-049e6b683305", "creator_id" : 657525, "user_type" : "STUDENT", "metadata" : { "courseSessionId" : 70690 }, "creator_metadata" : { "name" : "ŸÅŸáÿØ ÿßŸÑÿ≥ŸÜŸäÿØŸä", "avatarUrl" : { "url" : "https://cdn.non.sa/images/avatar/male/2.png" } }, "created_at" : { "$date" : 1765864263265 }, "_class" : "com.noon.noon2.entity.chat.ChatMessage" }</t>
  </si>
  <si>
    <t>6940f480b7e9a1769e098a7a</t>
  </si>
  <si>
    <t>656f5132-beea-440f-8b23-00e2e62f393b</t>
  </si>
  <si>
    <t>{ "_id" : { "$oid" : "6940f480b7e9a1769e098a7a" }, "id" : "656f5132-beea-440f-8b23-00e2e62f393b", "text" : "110", "chat_id" : "731f4273-a000-45da-b73c-049e6b683305", "creator_id" : 652934, "user_type" : "STUDENT", "metadata" : { "courseSessionId" : 70690 }, "creator_metadata" : { "name" : "ÿπÿ®ÿØÿßŸÑŸÑŸá ÿßŸÑŸáÿßÿ¨ÿ±Ÿä", "avatarUrl" : { "url" : "https://cdn.studyatnoon.com/public/school_student/652934/fd4bf2e8-3c23-4481-b3e2-2d9e010383ce_thumbnail.jpeg" } }, "created_at" : { "$date" : 1765864576667 }, "_class" : "com.noon.noon2.entity.chat.ChatMessage" }</t>
  </si>
  <si>
    <t>6940f7f9b7e9a1769e09aebb</t>
  </si>
  <si>
    <t>f6951c78-7ae0-46e7-a496-eea2fe19b9a1</t>
  </si>
  <si>
    <t>ÿ™ŸÇÿØÿ± ÿ™ÿπŸäÿØ ÿü</t>
  </si>
  <si>
    <t>{ "_id" : { "$oid" : "6940f7f9b7e9a1769e09aebb" }, "id" : "f6951c78-7ae0-46e7-a496-eea2fe19b9a1", "text" : "ÿ™ŸÇÿØÿ± ÿ™ÿπŸäÿØ ÿü", "chat_id" : "731f4273-a000-45da-b73c-049e6b683305", "creator_id" : 657525, "user_type" : "STUDENT", "metadata" : { "courseSessionId" : 70690 }, "creator_metadata" : { "name" : "ŸÅŸáÿØ ÿßŸÑÿ≥ŸÜŸäÿØŸä", "avatarUrl" : { "url" : "https://cdn.non.sa/images/avatar/male/2.png" } }, "created_at" : { "$date" : 1765865465710 }, "_class" : "com.noon.noon2.entity.chat.ChatMessage" }</t>
  </si>
  <si>
    <t>6940eee5b7e9a1769e096361</t>
  </si>
  <si>
    <t>f1b74cb4-a8fd-4eaa-b666-98ad8da7e01c</t>
  </si>
  <si>
    <t>ŸÜÿµ ŸÜÿµ</t>
  </si>
  <si>
    <t>{ "_id" : { "$oid" : "6940eee5b7e9a1769e096361" }, "id" : "f1b74cb4-a8fd-4eaa-b666-98ad8da7e01c", "text" : "ŸÜÿµ ŸÜÿµ", "chat_id" : "731f4273-a000-45da-b73c-049e6b683305", "creator_id" : 647426, "user_type" : "STUDENT", "metadata" : { "courseSessionId" : 70690 }, "creator_metadata" : { "name" : "ÿπÿ®ÿØÿßŸÑŸÑŸá ÿ≥ÿπÿØ ÿßŸÑŸÇÿ≠ÿ∑ÿßŸÜŸä ", "avatarUrl" : { "url" : "https://cdn.studyatnoon.com/public/school_student/647426/8943933c-34e4-4d14-87b7-b6cce6146924_thumbnail.jpeg" } }, "created_at" : { "$date" : 1765863141635 }, "_class" : "com.noon.noon2.entity.chat.ChatMessage" }</t>
  </si>
  <si>
    <t>6940f5e5b7e9a1769e099864</t>
  </si>
  <si>
    <t>c09e4fe5-d211-4ca0-b954-b12f74be983e</t>
  </si>
  <si>
    <t>ŸÖŸÜŸä ÿ¥ÿßŸäŸÅ ÿ¥Ÿä</t>
  </si>
  <si>
    <t>{ "_id" : { "$oid" : "6940f5e5b7e9a1769e099864" }, "id" : "c09e4fe5-d211-4ca0-b954-b12f74be983e", "text" : "ŸÖŸÜŸä ÿ¥ÿßŸäŸÅ ÿ¥Ÿä",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1765864933426 }, "_class" : "com.noon.noon2.entity.chat.ChatMessage" }</t>
  </si>
  <si>
    <t>6940eeb4b7e9a1769e096229</t>
  </si>
  <si>
    <t>747f89af-941d-4580-a114-1dc5b29a86b2</t>
  </si>
  <si>
    <t>ÿßŸÑÿ≥ŸÑÿßŸÖ ÿπŸÑŸäŸÉŸÖ Ÿàÿ±ÿ≠ŸÖŸá ÿßŸÑŸÑŸá Ÿàÿ®ÿ±ŸÉÿßÿ™Ÿá</t>
  </si>
  <si>
    <t>{ "_id" : { "$oid" : "6940eeb4b7e9a1769e096229" }, "id" : "747f89af-941d-4580-a114-1dc5b29a86b2", "text" : "ÿßŸÑÿ≥ŸÑÿßŸÖ ÿπŸÑŸäŸÉŸÖ Ÿàÿ±ÿ≠ŸÖŸá ÿßŸÑŸÑŸá Ÿàÿ®ÿ±ŸÉÿßÿ™Ÿá", "chat_id" : "731f4273-a000-45da-b73c-049e6b683305", "creator_id" : 652934, "user_type" : "STUDENT", "metadata" : { "courseSessionId" : 70690 }, "creator_metadata" : { "name" : "ÿπÿ®ÿØÿßŸÑŸÑŸá ÿßŸÑŸáÿßÿ¨ÿ±Ÿä", "avatarUrl" : { "url" : "https://cdn.studyatnoon.com/public/school_student/652934/fd4bf2e8-3c23-4481-b3e2-2d9e010383ce_thumbnail.jpeg" } }, "created_at" : { "$date" : 1765863092427 }, "_class" : "com.noon.noon2.entity.chat.ChatMessage" }</t>
  </si>
  <si>
    <t>6940eeceb7e9a1769e0962e9</t>
  </si>
  <si>
    <t>6bd03f82-aae4-4c67-bc54-e433e93ee229</t>
  </si>
  <si>
    <t>ÿπŸÑŸäŸÉŸÖ ÿßŸÑÿ≥ŸÑÿßŸÖ Ÿàÿ±ÿ≠ŸÖÿ© ÿßŸÑŸÑŸá Ÿàÿ®ÿ±ŸÉÿßÿ™Ÿá</t>
  </si>
  <si>
    <t>{ "_id" : { "$oid" : "6940eeceb7e9a1769e0962e9" }, "id" : "6bd03f82-aae4-4c67-bc54-e433e93ee229", "text" : "ÿπŸÑŸäŸÉŸÖ ÿßŸÑÿ≥ŸÑÿßŸÖ Ÿàÿ±ÿ≠ŸÖÿ© ÿßŸÑŸÑŸá Ÿàÿ®ÿ±ŸÉÿßÿ™Ÿá", "chat_id" : "731f4273-a000-45da-b73c-049e6b683305", "creator_id" : 636745, "user_type" : "TEACHER", "metadata" : { "courseSessionId" : 70690 }, "creator_metadata" : { "name" : "ÿ£.ÿπÿ®ÿØÿßŸÑÿ±ÿ≤ÿßŸÇ ÿßŸÑÿ¥ÿ±ŸäŸÅ ", "avatarUrl" : { "url" : "https://cdn.studyatnoon.com/public/teacher/636745/e5735caf-25ba-4804-9b29-25486f32a264_thumbnail.jpeg" } }, "created_at" : { "$date" : 1765863118519 }, "_class" : "com.noon.noon2.entity.chat.ChatMessage" }</t>
  </si>
  <si>
    <t>6940f134b7e9a1769e096ffd</t>
  </si>
  <si>
    <t>ff324471-3db3-4e2f-b80f-209c963afd57</t>
  </si>
  <si>
    <t>{ "_id" : { "$oid" : "6940f134b7e9a1769e096ffd" }, "id" : "ff324471-3db3-4e2f-b80f-209c963afd57", "text" : "Ÿàÿßÿ∂ÿ≠", "chat_id" : "731f4273-a000-45da-b73c-049e6b683305", "creator_id" : 647499, "user_type" : "STUDENT", "metadata" : { "courseSessionId" : 70690 }, "creator_metadata" : { "name" : "ÿπÿ®ÿØÿßŸÑÿ±ÿ≠ŸÖŸÜ ÿßŸÑÿ∫ÿßŸÜŸÖ", "avatarUrl" : { "url" : "https://cdn.studyatnoon.com/public/school_student/647499/ce667997-10c3-4998-a42b-f2051d491a6f_thumbnail.jpeg" } }, "created_at" : { "$date" : 1765863732570 }, "_class" : "com.noon.noon2.entity.chat.ChatMessage" }</t>
  </si>
  <si>
    <t>6940eedeb7e9a1769e096327</t>
  </si>
  <si>
    <t>4feb8b47-5d52-4dd4-917e-3b57b4787cd7</t>
  </si>
  <si>
    <t>ŸÑÿ≥ÿß</t>
  </si>
  <si>
    <t>{ "_id" : { "$oid" : "6940eedeb7e9a1769e096327" }, "id" : "4feb8b47-5d52-4dd4-917e-3b57b4787cd7", "text" : "ŸÑÿ≥ÿß",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1765863134684 }, "_class" : "com.noon.noon2.entity.chat.ChatMessage" }</t>
  </si>
  <si>
    <t>6940f17db7e9a1769e097170</t>
  </si>
  <si>
    <t>d207153e-b089-45a9-9b4d-bcccd4fb7f22</t>
  </si>
  <si>
    <t>{ "_id" : { "$oid" : "6940f17db7e9a1769e097170" }, "id" : "d207153e-b089-45a9-9b4d-bcccd4fb7f22", "text" : "Ÿàÿßÿ∂ÿ≠", "chat_id" : "731f4273-a000-45da-b73c-049e6b683305", "creator_id" : 651452, "user_type" : "STUDENT", "metadata" : { "courseSessionId" : 70690 }, "creator_metadata" : { "name" : "Ÿäÿßÿ≥ÿ± ÿßŸÑÿØŸàÿ≥ÿ±Ÿä", "avatarUrl" : { "url" : "https://cdn.studyatnoon.com/public/school_student/651452/68c8730e-3aca-4439-a443-238f88140bbb_thumbnail.jpeg" } }, "created_at" : { "$date" : 1765863805912 }, "_class" : "com.noon.noon2.entity.chat.ChatMessage" }</t>
  </si>
  <si>
    <t>6940f298b7e9a1769e0979a4</t>
  </si>
  <si>
    <t>eb667897-4c9b-4c94-81e0-3eb04222df28</t>
  </si>
  <si>
    <t>ÿ∑Ÿäÿ® ÿßŸÑÿ´ÿßŸÑÿ´</t>
  </si>
  <si>
    <t>{ "_id" : { "$oid" : "6940f298b7e9a1769e0979a4" }, "id" : "eb667897-4c9b-4c94-81e0-3eb04222df28", "text" : "ÿ∑Ÿäÿ® ÿßŸÑÿ´ÿßŸÑÿ´",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1765864088471 }, "_class" : "com.noon.noon2.entity.chat.ChatMessage" }</t>
  </si>
  <si>
    <t>6940f18eb7e9a1769e0971d6</t>
  </si>
  <si>
    <t>b7fdd57f-136d-4949-8ad1-19b37dfa2bea</t>
  </si>
  <si>
    <t>ŸÖÿß ŸÅŸáŸÖÿ™Ÿáÿß ŸÖÿ±Ÿá Ÿäÿß ÿßÿ≥ÿ™ÿßÿ∞</t>
  </si>
  <si>
    <t>{ "_id" : { "$oid" : "6940f18eb7e9a1769e0971d6" }, "id" : "b7fdd57f-136d-4949-8ad1-19b37dfa2bea", "text" : "ŸÖÿß ŸÅŸáŸÖÿ™Ÿáÿß ŸÖÿ±Ÿá Ÿäÿß ÿßÿ≥ÿ™ÿßÿ∞", "chat_id" : "731f4273-a000-45da-b73c-049e6b683305", "creator_id" : 652934, "user_type" : "STUDENT", "metadata" : { "courseSessionId" : 70690 }, "creator_metadata" : { "name" : "ÿπÿ®ÿØÿßŸÑŸÑŸá ÿßŸÑŸáÿßÿ¨ÿ±Ÿä", "avatarUrl" : { "url" : "https://cdn.studyatnoon.com/public/school_student/652934/fd4bf2e8-3c23-4481-b3e2-2d9e010383ce_thumbnail.jpeg" } }, "created_at" : { "$date" : 1765863822687 }, "_class" : "com.noon.noon2.entity.chat.ChatMessage" }</t>
  </si>
  <si>
    <t>6940f230b7e9a1769e0976de</t>
  </si>
  <si>
    <t>05a77bc3-1fb4-4b99-93db-bb2fed8f324c</t>
  </si>
  <si>
    <t>ÿØÿßÿÆŸÑ ÿßŸÑÿØÿßÿ¶ÿ±ÿ©</t>
  </si>
  <si>
    <t>{ "_id" : { "$oid" : "6940f230b7e9a1769e0976de" }, "id" : "05a77bc3-1fb4-4b99-93db-bb2fed8f324c", "text" : "ÿØÿßÿÆŸÑ ÿßŸÑÿØÿßÿ¶ÿ±ÿ©", "chat_id" : "731f4273-a000-45da-b73c-049e6b683305", "creator_id" : 648959, "user_type" : "STUDENT", "metadata" : { "courseSessionId" : 70690 }, "creator_metadata" : { "name" : "ŸÉÿ±ŸÖ ÿ∫ŸÜÿßŸäŸÖ", "avatarUrl" : { "url" : "https://cdn.studyatnoon.com/public/school_student/648959/52ad66e3-3d8e-4c9b-a8a2-98b299b1deed_thumbnail.jpeg" } }, "created_at" : { "$date" : 1765863984122 }, "_class" : "com.noon.noon2.entity.chat.ChatMessage" }</t>
  </si>
  <si>
    <t>6940f7f0b7e9a1769e09ae22</t>
  </si>
  <si>
    <t>dce593b8-4225-4a03-a4c7-8f0f8f62cf53</t>
  </si>
  <si>
    <t>{ "_id" : { "$oid" : "6940f7f0b7e9a1769e09ae22" }, "id" : "dce593b8-4225-4a03-a4c7-8f0f8f62cf53", "text" : "Ÿàÿßÿ∂ÿ≠", "chat_id" : "731f4273-a000-45da-b73c-049e6b683305", "creator_id" : 648959, "user_type" : "STUDENT", "metadata" : { "courseSessionId" : 70690 }, "creator_metadata" : { "name" : "ŸÉÿ±ŸÖ ÿ∫ŸÜÿßŸäŸÖ", "avatarUrl" : { "url" : "https://cdn.studyatnoon.com/public/school_student/648959/52ad66e3-3d8e-4c9b-a8a2-98b299b1deed_thumbnail.jpeg" } }, "created_at" : { "$date" : 1765865456674 }, "_class" : "com.noon.noon2.entity.chat.ChatMessage" }</t>
  </si>
  <si>
    <t>6940eef8b7e9a1769e09639a</t>
  </si>
  <si>
    <t>399b98fa-2687-401b-9e06-9c4f3dd114db</t>
  </si>
  <si>
    <t>ŸÑÿß ŸàÿßŸÑŸÑŸá ÿ™ŸÇÿ∑ŸäŸäÿπ</t>
  </si>
  <si>
    <t>{ "_id" : { "$oid" : "6940eef8b7e9a1769e09639a" }, "id" : "399b98fa-2687-401b-9e06-9c4f3dd114db", "text" : "ŸÑÿß ŸàÿßŸÑŸÑŸá ÿ™ŸÇÿ∑ŸäŸäÿπ", "chat_id" : "731f4273-a000-45da-b73c-049e6b683305", "creator_id" : 647426, "user_type" : "STUDENT", "metadata" : { "courseSessionId" : 70690 }, "creator_metadata" : { "name" : "ÿπÿ®ÿØÿßŸÑŸÑŸá ÿ≥ÿπÿØ ÿßŸÑŸÇÿ≠ÿ∑ÿßŸÜŸä ", "avatarUrl" : { "url" : "https://cdn.studyatnoon.com/public/school_student/647426/8943933c-34e4-4d14-87b7-b6cce6146924_thumbnail.jpeg" } }, "created_at" : { "$date" : 1765863160336 }, "_class" : "com.noon.noon2.entity.chat.ChatMessage" }</t>
  </si>
  <si>
    <t>6940f817b7e9a1769e09aff3</t>
  </si>
  <si>
    <t>61beb449-9726-45a1-8103-abe35fc52343</t>
  </si>
  <si>
    <t>ŸÑŸäŸá ÿ≥ ÿ™ÿ≥ÿßŸàŸä ÿßŸÑŸÇŸàÿ≥ ÿßŸäÿ¥ ÿßŸÑÿπŸÑÿßŸÇŸá</t>
  </si>
  <si>
    <t>{ "_id" : { "$oid" : "6940f817b7e9a1769e09aff3" }, "id" : "61beb449-9726-45a1-8103-abe35fc52343", "text" : "ŸÑŸäŸá ÿ≥ ÿ™ÿ≥ÿßŸàŸä ÿßŸÑŸÇŸàÿ≥ ÿßŸäÿ¥ ÿßŸÑÿπŸÑÿßŸÇŸá", "chat_id" : "731f4273-a000-45da-b73c-049e6b683305", "creator_id" : 647748, "user_type" : "STUDENT", "metadata" : { "courseSessionId" : 70690 }, "creator_metadata" : { "name" : "ÿπÿ®ÿØÿßŸÑÿπÿ≤Ÿäÿ≤ ÿßŸÑÿπŸÖÿßÿ±", "avatarUrl" : { "url" : "https://cdn.non.sa/images/avatar/male/1.png" } }, "created_at" : { "$date" : 1765865495074 }, "_class" : "com.noon.noon2.entity.chat.ChatMessage" }</t>
  </si>
  <si>
    <t>6940eeadb7e9a1769e0961ed</t>
  </si>
  <si>
    <t>4fa591d9-ec48-4d4e-af95-a8a144ad3b92</t>
  </si>
  <si>
    <t>?</t>
  </si>
  <si>
    <t>{ "_id" : { "$oid" : "6940eeadb7e9a1769e0961ed" }, "id" : "4fa591d9-ec48-4d4e-af95-a8a144ad3b92", "text" : "?", "chat_id" : "731f4273-a000-45da-b73c-049e6b683305", "creator_id" : 657525, "user_type" : "STUDENT", "metadata" : { "courseSessionId" : 70690 }, "creator_metadata" : { "name" : "ŸÅŸáÿØ ÿßŸÑÿ≥ŸÜŸäÿØŸä", "avatarUrl" : { "url" : "https://cdn.non.sa/images/avatar/male/2.png" } }, "created_at" : { "$date" : 1765863085209 }, "_class" : "com.noon.noon2.entity.chat.ChatMessage" }</t>
  </si>
  <si>
    <t>6940ef8eb7e9a1769e096689</t>
  </si>
  <si>
    <t>01055b17-d254-48ab-b720-743b7fd36513</t>
  </si>
  <si>
    <t>ŸÅŸä ÿ≠ÿ®ÿßÿ±</t>
  </si>
  <si>
    <t>{ "_id" : { "$oid" : "6940ef8eb7e9a1769e096689" }, "id" : "01055b17-d254-48ab-b720-743b7fd36513", "text" : "ŸÅŸä ÿ≠ÿ®ÿßÿ±", "chat_id" : "731f4273-a000-45da-b73c-049e6b683305", "creator_id" : 647411, "user_type" : "STUDENT", "metadata" : { "courseSessionId" : 70690 }, "creator_metadata" : { "name" : "ŸÅÿßÿ±ÿ≥ ÿπŸàÿ∂Ÿá", "avatarUrl" : { "url" : "https://cdn.studyatnoon.com/public/school_student/647411/79ee8fc4-175b-4e8f-a16a-22c46e72f4b1_thumbnail.jpeg" } }, "created_at" : { "$date" : 1765863310779 }, "_class" : "com.noon.noon2.entity.chat.ChatMessage" }</t>
  </si>
  <si>
    <t>course_session_name</t>
  </si>
  <si>
    <t>course_session_content_type</t>
  </si>
  <si>
    <t>is_course_session_paid</t>
  </si>
  <si>
    <t>course_session_type</t>
  </si>
  <si>
    <t>course_teacher_id</t>
  </si>
  <si>
    <t>course_session_teacher_id</t>
  </si>
  <si>
    <t>course_session_scheduled_start_time</t>
  </si>
  <si>
    <t>course_session_scheduled_end_time</t>
  </si>
  <si>
    <t>teacher_start_time</t>
  </si>
  <si>
    <t>teacher_end_time</t>
  </si>
  <si>
    <t>avg_active_time_per_student</t>
  </si>
  <si>
    <t>median_active_time_per_student</t>
  </si>
  <si>
    <t>course_session_status</t>
  </si>
  <si>
    <t>course_section_id</t>
  </si>
  <si>
    <t>main_room_id</t>
  </si>
  <si>
    <t>total_segments</t>
  </si>
  <si>
    <t>total_breakouts</t>
  </si>
  <si>
    <t>total_breakouts_happened</t>
  </si>
  <si>
    <t>feature_avg_active_duration</t>
  </si>
  <si>
    <t>feature_median_active_duration</t>
  </si>
  <si>
    <t>activity_feature_avg_active_duration</t>
  </si>
  <si>
    <t>activity_feature_median_active_duration</t>
  </si>
  <si>
    <t>session_slide_id_list</t>
  </si>
  <si>
    <t>chapter_ids</t>
  </si>
  <si>
    <t>topic_ids</t>
  </si>
  <si>
    <t>sub_topic_ids</t>
  </si>
  <si>
    <t>is_course_deleted</t>
  </si>
  <si>
    <t>positive_users</t>
  </si>
  <si>
    <t>negative_users</t>
  </si>
  <si>
    <t>neutral_users</t>
  </si>
  <si>
    <t>session_temperature</t>
  </si>
  <si>
    <t>الدائرةL2</t>
  </si>
  <si>
    <t>HYBRID</t>
  </si>
  <si>
    <t>2025-12-16T05:30:00</t>
  </si>
  <si>
    <t>2025-12-16T06:15:00</t>
  </si>
  <si>
    <t>2025-12-16T05:15:00</t>
  </si>
  <si>
    <t>2025-12-16T06:18:43</t>
  </si>
  <si>
    <t>2025-12-16T05:28:44</t>
  </si>
  <si>
    <t>ended</t>
  </si>
  <si>
    <t>{"REACTION":104823,"TEAM_CHEER":130126,"MESSAGE":75817,"ACTIVITY_START":427914,"ZOOM_IN":38426,"STAGE_TIME":19757,"STUDENT_CHEER":6288,"SLIDE_PREVIEW":4233}</t>
  </si>
  <si>
    <t>{"REACTION":120000,"TEAM_CHEER":300000,"MESSAGE":60000,"ACTIVITY_START":448777,"ZOOM_IN":59487,"STAGE_TIME":127655,"STUDENT_CHEER":30000,"SLIDE_PREVIEW":10700}</t>
  </si>
  <si>
    <t>{"1396620":{"ZOOM_IN":11367},"1396625":{"SLIDE_PREVIEW":1539,"REACTION":1304},"1396621":{"ZOOM_IN":11402},"1396623":{"ZOOM_IN":1304},"1396622":{"SLIDE_PREVIEW":2101}}</t>
  </si>
  <si>
    <t>{"1396620":{"ZOOM_IN":33536},"1396625":{"SLIDE_PREVIEW":8824,"REACTION":30000},"1396621":{"ZOOM_IN":52413},"1396623":{"ZOOM_IN":30000},"1396622":{"SLIDE_PREVIEW":48324}}</t>
  </si>
  <si>
    <t>[1396599, 1396600, 1396613, 1396601, 1396602, 1396603, 1396604, 1396619, 1396625, 1396605, 1396606, 1396607, 1396618, 1396624, 1396608, 1396617, 1396623, 1396609, 1396610, 1396611, 1396616, 1396622, 1396621, 1396612, 1396620, 1396614, 1396615]</t>
  </si>
  <si>
    <t>[2851]</t>
  </si>
  <si>
    <t>[15061]</t>
  </si>
  <si>
    <t>[]</t>
  </si>
  <si>
    <t>2025-12-11T10:34:54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</si>
</sst>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2"/>
      <color theme="1"/>
      <name val="Aptos Narrow"/>
      <family val="2"/>
      <scheme val="minor"/>
    </font>
    <font>
      <b/>
      <sz val="11"/>
      <color rgb="FF000000"/>
      <name val="Cambria"/>
      <family val="1"/>
    </font>
    <font>
      <sz val="11"/>
      <color rgb="FF000000"/>
      <name val="Cambria"/>
      <family val="1"/>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xf numFmtId="0" fontId="2" fillId="0" borderId="0" xfId="0" applyFont="1"/>
    <xf numFmtId="22" fontId="3" fillId="0" borderId="0" xfId="0" applyNumberFormat="1" applyFont="1"/>
    <xf numFmtId="22" fontId="0" fillId="0" borderId="0" xfId="0" applyNumberFormat="1"/>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DFBBC-26F5-3E4D-AC40-EDBE05793CCB}">
  <dimension ref="A1:I617"/>
  <sheetViews>
    <sheetView workbookViewId="0">
      <selection activeCell="I3" sqref="I3"/>
    </sheetView>
  </sheetViews>
  <sheetFormatPr baseColWidth="10" defaultRowHeight="16" x14ac:dyDescent="0.2"/>
  <cols>
    <col min="6" max="6" width="12.33203125" bestFit="1" customWidth="1"/>
    <col min="7" max="7" width="39.5" bestFit="1" customWidth="1"/>
    <col min="8" max="8" width="14.1640625" bestFit="1" customWidth="1"/>
    <col min="9" max="9" width="23.5" bestFit="1" customWidth="1"/>
    <col min="10" max="10" width="21.5" bestFit="1" customWidth="1"/>
  </cols>
  <sheetData>
    <row r="1" spans="1:9" x14ac:dyDescent="0.2">
      <c r="A1" s="2" t="s">
        <v>2</v>
      </c>
      <c r="E1" t="s">
        <v>0</v>
      </c>
      <c r="F1" s="4">
        <v>46007.227777777778</v>
      </c>
      <c r="G1" t="str">
        <f>LEFT(A1, 8)</f>
        <v>00:02:47</v>
      </c>
      <c r="H1" t="str">
        <f>LEFT(TRIM(MID(A1, FIND("--&gt;", A1)+3, 20)), 8)</f>
        <v>00:02:54</v>
      </c>
      <c r="I1" t="str">
        <f t="shared" ref="I1:I64" si="0">A2</f>
        <v>الله. أعاده. عليكم السلام ورحمة الله وبركاته.</v>
      </c>
    </row>
    <row r="2" spans="1:9" x14ac:dyDescent="0.2">
      <c r="A2" s="3" t="s">
        <v>3</v>
      </c>
      <c r="E2" t="s">
        <v>1</v>
      </c>
      <c r="F2" s="1">
        <f>TIME(HOUR(F1), MINUTE(F1), SECOND(F1))</f>
        <v>0.22777777777777777</v>
      </c>
      <c r="G2" t="str">
        <f t="shared" ref="G2:G64" si="1">LEFT(A2, 8)</f>
        <v>الله. أع</v>
      </c>
      <c r="H2" t="e">
        <f t="shared" ref="H2:H64" si="2">LEFT(TRIM(MID(A2, FIND("--&gt;", A2)+3, 20)), 8)</f>
        <v>#VALUE!</v>
      </c>
      <c r="I2">
        <f t="shared" si="0"/>
        <v>0</v>
      </c>
    </row>
    <row r="3" spans="1:9" x14ac:dyDescent="0.2">
      <c r="G3" t="str">
        <f t="shared" si="1"/>
        <v/>
      </c>
      <c r="H3" t="e">
        <f t="shared" si="2"/>
        <v>#VALUE!</v>
      </c>
      <c r="I3" t="str">
        <f t="shared" si="0"/>
        <v>00:02:58,240 --&gt; 00:03:14,360</v>
      </c>
    </row>
    <row r="4" spans="1:9" x14ac:dyDescent="0.2">
      <c r="A4" s="2" t="s">
        <v>4</v>
      </c>
      <c r="G4" t="str">
        <f t="shared" si="1"/>
        <v>00:02:58</v>
      </c>
      <c r="H4" t="str">
        <f t="shared" si="2"/>
        <v>00:03:14</v>
      </c>
      <c r="I4" t="str">
        <f t="shared" si="0"/>
        <v> حياكم الله يا أحباب. وعليكم السلام ورحمة الله وبركاته. جمعة. يا الله. فيض بطل. </v>
      </c>
    </row>
    <row r="5" spans="1:9" x14ac:dyDescent="0.2">
      <c r="A5" s="3" t="s">
        <v>5</v>
      </c>
      <c r="G5" t="str">
        <f t="shared" si="1"/>
        <v> حياكم ا</v>
      </c>
      <c r="H5" t="e">
        <f t="shared" si="2"/>
        <v>#VALUE!</v>
      </c>
      <c r="I5">
        <f t="shared" si="0"/>
        <v>0</v>
      </c>
    </row>
    <row r="6" spans="1:9" x14ac:dyDescent="0.2">
      <c r="G6" t="str">
        <f t="shared" si="1"/>
        <v/>
      </c>
      <c r="H6" t="e">
        <f t="shared" si="2"/>
        <v>#VALUE!</v>
      </c>
      <c r="I6" t="str">
        <f t="shared" si="0"/>
        <v>00:03:16,440 --&gt; 00:03:23,640</v>
      </c>
    </row>
    <row r="7" spans="1:9" x14ac:dyDescent="0.2">
      <c r="A7" s="2" t="s">
        <v>6</v>
      </c>
      <c r="G7" t="str">
        <f t="shared" si="1"/>
        <v>00:03:16</v>
      </c>
      <c r="H7" t="str">
        <f t="shared" si="2"/>
        <v>00:03:23</v>
      </c>
      <c r="I7" t="str">
        <f t="shared" si="0"/>
        <v>معي. وكذا. ان شاء الله. يضبط. ما هذا؟ الحد؟ الصفحة. مالك. </v>
      </c>
    </row>
    <row r="8" spans="1:9" x14ac:dyDescent="0.2">
      <c r="A8" s="3" t="s">
        <v>7</v>
      </c>
      <c r="G8" t="str">
        <f t="shared" si="1"/>
        <v>معي. وكذ</v>
      </c>
      <c r="H8" t="e">
        <f t="shared" si="2"/>
        <v>#VALUE!</v>
      </c>
      <c r="I8">
        <f t="shared" si="0"/>
        <v>0</v>
      </c>
    </row>
    <row r="9" spans="1:9" x14ac:dyDescent="0.2">
      <c r="G9" t="str">
        <f t="shared" si="1"/>
        <v/>
      </c>
      <c r="H9" t="e">
        <f t="shared" si="2"/>
        <v>#VALUE!</v>
      </c>
      <c r="I9" t="str">
        <f t="shared" si="0"/>
        <v>00:03:25,860 --&gt; 00:03:29,579</v>
      </c>
    </row>
    <row r="10" spans="1:9" x14ac:dyDescent="0.2">
      <c r="A10" s="2" t="s">
        <v>8</v>
      </c>
      <c r="G10" t="str">
        <f t="shared" si="1"/>
        <v>00:03:25</v>
      </c>
      <c r="H10" t="str">
        <f t="shared" si="2"/>
        <v>00:03:29</v>
      </c>
      <c r="I10" t="str">
        <f t="shared" si="0"/>
        <v>احنا نشرب. </v>
      </c>
    </row>
    <row r="11" spans="1:9" x14ac:dyDescent="0.2">
      <c r="A11" s="3" t="s">
        <v>9</v>
      </c>
      <c r="G11" t="str">
        <f t="shared" si="1"/>
        <v>احنا نشر</v>
      </c>
      <c r="H11" t="e">
        <f t="shared" si="2"/>
        <v>#VALUE!</v>
      </c>
      <c r="I11">
        <f t="shared" si="0"/>
        <v>0</v>
      </c>
    </row>
    <row r="12" spans="1:9" x14ac:dyDescent="0.2">
      <c r="G12" t="str">
        <f t="shared" si="1"/>
        <v/>
      </c>
      <c r="H12" t="e">
        <f t="shared" si="2"/>
        <v>#VALUE!</v>
      </c>
      <c r="I12" t="str">
        <f t="shared" si="0"/>
        <v>00:03:29,579 --&gt; 00:04:57,090</v>
      </c>
    </row>
    <row r="13" spans="1:9" x14ac:dyDescent="0.2">
      <c r="A13" s="2" t="s">
        <v>10</v>
      </c>
      <c r="G13" t="str">
        <f t="shared" si="1"/>
        <v>00:03:29</v>
      </c>
      <c r="H13" t="str">
        <f t="shared" si="2"/>
        <v>00:04:57</v>
      </c>
      <c r="I13" t="str">
        <f t="shared" si="0"/>
        <v>الزوت. لا. الله اكبر. واحد. واحد. </v>
      </c>
    </row>
    <row r="14" spans="1:9" x14ac:dyDescent="0.2">
      <c r="A14" s="3" t="s">
        <v>11</v>
      </c>
      <c r="G14" t="str">
        <f t="shared" si="1"/>
        <v>الزوت. ل</v>
      </c>
      <c r="H14" t="e">
        <f t="shared" si="2"/>
        <v>#VALUE!</v>
      </c>
      <c r="I14">
        <f t="shared" si="0"/>
        <v>0</v>
      </c>
    </row>
    <row r="15" spans="1:9" x14ac:dyDescent="0.2">
      <c r="G15" t="str">
        <f t="shared" si="1"/>
        <v/>
      </c>
      <c r="H15" t="e">
        <f t="shared" si="2"/>
        <v>#VALUE!</v>
      </c>
      <c r="I15" t="str">
        <f t="shared" si="0"/>
        <v>00:04:57,090 --&gt; 00:04:57,090</v>
      </c>
    </row>
    <row r="16" spans="1:9" x14ac:dyDescent="0.2">
      <c r="A16" s="2" t="s">
        <v>12</v>
      </c>
      <c r="G16" t="str">
        <f t="shared" si="1"/>
        <v>00:04:57</v>
      </c>
      <c r="H16" t="str">
        <f t="shared" si="2"/>
        <v>00:04:57</v>
      </c>
      <c r="I16" t="str">
        <f t="shared" si="0"/>
        <v>واحد. </v>
      </c>
    </row>
    <row r="17" spans="1:9" x14ac:dyDescent="0.2">
      <c r="A17" s="3" t="s">
        <v>13</v>
      </c>
      <c r="G17" t="str">
        <f t="shared" si="1"/>
        <v>واحد. </v>
      </c>
      <c r="H17" t="e">
        <f t="shared" si="2"/>
        <v>#VALUE!</v>
      </c>
      <c r="I17">
        <f t="shared" si="0"/>
        <v>0</v>
      </c>
    </row>
    <row r="18" spans="1:9" x14ac:dyDescent="0.2">
      <c r="G18" t="str">
        <f t="shared" si="1"/>
        <v/>
      </c>
      <c r="H18" t="e">
        <f t="shared" si="2"/>
        <v>#VALUE!</v>
      </c>
      <c r="I18" t="str">
        <f t="shared" si="0"/>
        <v>00:04:57,090 --&gt; 00:04:57,090</v>
      </c>
    </row>
    <row r="19" spans="1:9" x14ac:dyDescent="0.2">
      <c r="A19" s="2" t="s">
        <v>12</v>
      </c>
      <c r="G19" t="str">
        <f t="shared" si="1"/>
        <v>00:04:57</v>
      </c>
      <c r="H19" t="str">
        <f t="shared" si="2"/>
        <v>00:04:57</v>
      </c>
      <c r="I19" t="str">
        <f t="shared" si="0"/>
        <v>واحد. </v>
      </c>
    </row>
    <row r="20" spans="1:9" x14ac:dyDescent="0.2">
      <c r="A20" s="3" t="s">
        <v>13</v>
      </c>
      <c r="G20" t="str">
        <f t="shared" si="1"/>
        <v>واحد. </v>
      </c>
      <c r="H20" t="e">
        <f t="shared" si="2"/>
        <v>#VALUE!</v>
      </c>
      <c r="I20">
        <f t="shared" si="0"/>
        <v>0</v>
      </c>
    </row>
    <row r="21" spans="1:9" x14ac:dyDescent="0.2">
      <c r="G21" t="str">
        <f t="shared" si="1"/>
        <v/>
      </c>
      <c r="H21" t="e">
        <f t="shared" si="2"/>
        <v>#VALUE!</v>
      </c>
      <c r="I21" t="str">
        <f t="shared" si="0"/>
        <v>00:04:57,090 --&gt; 00:04:57,090</v>
      </c>
    </row>
    <row r="22" spans="1:9" x14ac:dyDescent="0.2">
      <c r="A22" s="2" t="s">
        <v>12</v>
      </c>
      <c r="G22" t="str">
        <f t="shared" si="1"/>
        <v>00:04:57</v>
      </c>
      <c r="H22" t="str">
        <f t="shared" si="2"/>
        <v>00:04:57</v>
      </c>
      <c r="I22" t="str">
        <f t="shared" si="0"/>
        <v>واحد. </v>
      </c>
    </row>
    <row r="23" spans="1:9" x14ac:dyDescent="0.2">
      <c r="A23" s="3" t="s">
        <v>13</v>
      </c>
      <c r="G23" t="str">
        <f t="shared" si="1"/>
        <v>واحد. </v>
      </c>
      <c r="H23" t="e">
        <f t="shared" si="2"/>
        <v>#VALUE!</v>
      </c>
      <c r="I23">
        <f t="shared" si="0"/>
        <v>0</v>
      </c>
    </row>
    <row r="24" spans="1:9" x14ac:dyDescent="0.2">
      <c r="G24" t="str">
        <f t="shared" si="1"/>
        <v/>
      </c>
      <c r="H24" t="e">
        <f t="shared" si="2"/>
        <v>#VALUE!</v>
      </c>
      <c r="I24" t="str">
        <f t="shared" si="0"/>
        <v>00:04:57,090 --&gt; 00:04:57,090</v>
      </c>
    </row>
    <row r="25" spans="1:9" x14ac:dyDescent="0.2">
      <c r="A25" s="2" t="s">
        <v>12</v>
      </c>
      <c r="G25" t="str">
        <f t="shared" si="1"/>
        <v>00:04:57</v>
      </c>
      <c r="H25" t="str">
        <f t="shared" si="2"/>
        <v>00:04:57</v>
      </c>
      <c r="I25" t="str">
        <f t="shared" si="0"/>
        <v>واحد. </v>
      </c>
    </row>
    <row r="26" spans="1:9" x14ac:dyDescent="0.2">
      <c r="A26" s="3" t="s">
        <v>13</v>
      </c>
      <c r="G26" t="str">
        <f t="shared" si="1"/>
        <v>واحد. </v>
      </c>
      <c r="H26" t="e">
        <f t="shared" si="2"/>
        <v>#VALUE!</v>
      </c>
      <c r="I26">
        <f t="shared" si="0"/>
        <v>0</v>
      </c>
    </row>
    <row r="27" spans="1:9" x14ac:dyDescent="0.2">
      <c r="G27" t="str">
        <f t="shared" si="1"/>
        <v/>
      </c>
      <c r="H27" t="e">
        <f t="shared" si="2"/>
        <v>#VALUE!</v>
      </c>
      <c r="I27" t="str">
        <f t="shared" si="0"/>
        <v>00:04:57,090 --&gt; 00:04:57,500</v>
      </c>
    </row>
    <row r="28" spans="1:9" x14ac:dyDescent="0.2">
      <c r="A28" s="2" t="s">
        <v>14</v>
      </c>
      <c r="G28" t="str">
        <f t="shared" si="1"/>
        <v>00:04:57</v>
      </c>
      <c r="H28" t="str">
        <f t="shared" si="2"/>
        <v>00:04:57</v>
      </c>
      <c r="I28" t="str">
        <f t="shared" si="0"/>
        <v>واحد. واحد. </v>
      </c>
    </row>
    <row r="29" spans="1:9" x14ac:dyDescent="0.2">
      <c r="A29" s="3" t="s">
        <v>15</v>
      </c>
      <c r="G29" t="str">
        <f t="shared" si="1"/>
        <v>واحد. وا</v>
      </c>
      <c r="H29" t="e">
        <f t="shared" si="2"/>
        <v>#VALUE!</v>
      </c>
      <c r="I29">
        <f t="shared" si="0"/>
        <v>0</v>
      </c>
    </row>
    <row r="30" spans="1:9" x14ac:dyDescent="0.2">
      <c r="G30" t="str">
        <f t="shared" si="1"/>
        <v/>
      </c>
      <c r="H30" t="e">
        <f t="shared" si="2"/>
        <v>#VALUE!</v>
      </c>
      <c r="I30" t="str">
        <f t="shared" si="0"/>
        <v>00:04:57,500 --&gt; 00:04:57,510</v>
      </c>
    </row>
    <row r="31" spans="1:9" x14ac:dyDescent="0.2">
      <c r="A31" s="2" t="s">
        <v>16</v>
      </c>
      <c r="G31" t="str">
        <f t="shared" si="1"/>
        <v>00:04:57</v>
      </c>
      <c r="H31" t="str">
        <f t="shared" si="2"/>
        <v>00:04:57</v>
      </c>
      <c r="I31" t="str">
        <f t="shared" si="0"/>
        <v>واحد. واحد. </v>
      </c>
    </row>
    <row r="32" spans="1:9" x14ac:dyDescent="0.2">
      <c r="A32" s="3" t="s">
        <v>15</v>
      </c>
      <c r="G32" t="str">
        <f t="shared" si="1"/>
        <v>واحد. وا</v>
      </c>
      <c r="H32" t="e">
        <f t="shared" si="2"/>
        <v>#VALUE!</v>
      </c>
      <c r="I32">
        <f t="shared" si="0"/>
        <v>0</v>
      </c>
    </row>
    <row r="33" spans="1:9" x14ac:dyDescent="0.2">
      <c r="G33" t="str">
        <f t="shared" si="1"/>
        <v/>
      </c>
      <c r="H33" t="e">
        <f t="shared" si="2"/>
        <v>#VALUE!</v>
      </c>
      <c r="I33" t="str">
        <f t="shared" si="0"/>
        <v>00:04:57,510 --&gt; 00:04:57,510</v>
      </c>
    </row>
    <row r="34" spans="1:9" x14ac:dyDescent="0.2">
      <c r="A34" s="2" t="s">
        <v>17</v>
      </c>
      <c r="G34" t="str">
        <f t="shared" si="1"/>
        <v>00:04:57</v>
      </c>
      <c r="H34" t="str">
        <f t="shared" si="2"/>
        <v>00:04:57</v>
      </c>
      <c r="I34" t="str">
        <f t="shared" si="0"/>
        <v>واحد. واحد. واحد. </v>
      </c>
    </row>
    <row r="35" spans="1:9" x14ac:dyDescent="0.2">
      <c r="A35" s="3" t="s">
        <v>18</v>
      </c>
      <c r="G35" t="str">
        <f t="shared" si="1"/>
        <v>واحد. وا</v>
      </c>
      <c r="H35" t="e">
        <f t="shared" si="2"/>
        <v>#VALUE!</v>
      </c>
      <c r="I35">
        <f t="shared" si="0"/>
        <v>0</v>
      </c>
    </row>
    <row r="36" spans="1:9" x14ac:dyDescent="0.2">
      <c r="G36" t="str">
        <f t="shared" si="1"/>
        <v/>
      </c>
      <c r="H36" t="e">
        <f t="shared" si="2"/>
        <v>#VALUE!</v>
      </c>
      <c r="I36" t="str">
        <f t="shared" si="0"/>
        <v>00:04:57,510 --&gt; 00:05:08,260</v>
      </c>
    </row>
    <row r="37" spans="1:9" x14ac:dyDescent="0.2">
      <c r="A37" s="2" t="s">
        <v>19</v>
      </c>
      <c r="G37" t="str">
        <f t="shared" si="1"/>
        <v>00:04:57</v>
      </c>
      <c r="H37" t="str">
        <f t="shared" si="2"/>
        <v>00:05:08</v>
      </c>
      <c r="I37" t="str">
        <f t="shared" si="0"/>
        <v>واحد. واحد. راح نبدأ ان شاء الله دقيقة بس. اقل من دقيقة ان شاء الله راح نبدأ بس ننتظر مزيد من الطلاب. الصوت ان شاء الله واضح الحين. </v>
      </c>
    </row>
    <row r="38" spans="1:9" x14ac:dyDescent="0.2">
      <c r="A38" s="3" t="s">
        <v>20</v>
      </c>
      <c r="G38" t="str">
        <f t="shared" si="1"/>
        <v>واحد. وا</v>
      </c>
      <c r="H38" t="e">
        <f t="shared" si="2"/>
        <v>#VALUE!</v>
      </c>
      <c r="I38">
        <f t="shared" si="0"/>
        <v>0</v>
      </c>
    </row>
    <row r="39" spans="1:9" x14ac:dyDescent="0.2">
      <c r="G39" t="str">
        <f t="shared" si="1"/>
        <v/>
      </c>
      <c r="H39" t="e">
        <f t="shared" si="2"/>
        <v>#VALUE!</v>
      </c>
      <c r="I39" t="str">
        <f t="shared" si="0"/>
        <v>00:05:08,260 --&gt; 00:05:17,900</v>
      </c>
    </row>
    <row r="40" spans="1:9" x14ac:dyDescent="0.2">
      <c r="A40" s="2" t="s">
        <v>21</v>
      </c>
      <c r="G40" t="str">
        <f t="shared" si="1"/>
        <v>00:05:08</v>
      </c>
      <c r="H40" t="str">
        <f t="shared" si="2"/>
        <v>00:05:17</v>
      </c>
      <c r="I40" t="str">
        <f t="shared" si="0"/>
        <v>هو كذا بداية الحصة يا فارس لكن ياخذ وقت وتضبط الامور ان شاء الله. </v>
      </c>
    </row>
    <row r="41" spans="1:9" x14ac:dyDescent="0.2">
      <c r="A41" s="3" t="s">
        <v>22</v>
      </c>
      <c r="G41" t="str">
        <f t="shared" si="1"/>
        <v>هو كذا ب</v>
      </c>
      <c r="H41" t="e">
        <f t="shared" si="2"/>
        <v>#VALUE!</v>
      </c>
      <c r="I41">
        <f t="shared" si="0"/>
        <v>0</v>
      </c>
    </row>
    <row r="42" spans="1:9" x14ac:dyDescent="0.2">
      <c r="G42" t="str">
        <f t="shared" si="1"/>
        <v/>
      </c>
      <c r="H42" t="e">
        <f t="shared" si="2"/>
        <v>#VALUE!</v>
      </c>
      <c r="I42" t="str">
        <f t="shared" si="0"/>
        <v>00:05:17,900 --&gt; 00:05:31,380</v>
      </c>
    </row>
    <row r="43" spans="1:9" x14ac:dyDescent="0.2">
      <c r="A43" s="2" t="s">
        <v>23</v>
      </c>
      <c r="G43" t="str">
        <f t="shared" si="1"/>
        <v>00:05:17</v>
      </c>
      <c r="H43" t="str">
        <f t="shared" si="2"/>
        <v>00:05:31</v>
      </c>
      <c r="I43" t="str">
        <f t="shared" si="0"/>
        <v>ويمكن مع الغيم والمطر والجو الجميل. يمكن طول ويقطع اليوم. اشكركم على حضوركم. الله يعافيك يا فارس.</v>
      </c>
    </row>
    <row r="44" spans="1:9" x14ac:dyDescent="0.2">
      <c r="A44" s="3" t="s">
        <v>24</v>
      </c>
      <c r="G44" t="str">
        <f t="shared" si="1"/>
        <v>ويمكن مع</v>
      </c>
      <c r="H44" t="e">
        <f t="shared" si="2"/>
        <v>#VALUE!</v>
      </c>
      <c r="I44">
        <f t="shared" si="0"/>
        <v>0</v>
      </c>
    </row>
    <row r="45" spans="1:9" x14ac:dyDescent="0.2">
      <c r="G45" t="str">
        <f t="shared" si="1"/>
        <v/>
      </c>
      <c r="H45" t="e">
        <f t="shared" si="2"/>
        <v>#VALUE!</v>
      </c>
      <c r="I45" t="str">
        <f t="shared" si="0"/>
        <v>00:05:32,720 --&gt; 00:05:55,120</v>
      </c>
    </row>
    <row r="46" spans="1:9" x14ac:dyDescent="0.2">
      <c r="A46" s="2" t="s">
        <v>25</v>
      </c>
      <c r="G46" t="str">
        <f t="shared" si="1"/>
        <v>00:05:32</v>
      </c>
      <c r="H46" t="str">
        <f t="shared" si="2"/>
        <v>00:05:55</v>
      </c>
      <c r="I46" t="str">
        <f t="shared" si="0"/>
        <v> صبرتنا الله بالخير جميعا. السلام عليكم ورحمة الله وبركاته. حي الله الشباب الابطال. ابطال نون. </v>
      </c>
    </row>
    <row r="47" spans="1:9" x14ac:dyDescent="0.2">
      <c r="A47" s="3" t="s">
        <v>26</v>
      </c>
      <c r="G47" t="str">
        <f t="shared" si="1"/>
        <v xml:space="preserve"> صبرتنا </v>
      </c>
      <c r="H47" t="e">
        <f t="shared" si="2"/>
        <v>#VALUE!</v>
      </c>
      <c r="I47">
        <f t="shared" si="0"/>
        <v>0</v>
      </c>
    </row>
    <row r="48" spans="1:9" x14ac:dyDescent="0.2">
      <c r="G48" t="str">
        <f t="shared" si="1"/>
        <v/>
      </c>
      <c r="H48" t="e">
        <f t="shared" si="2"/>
        <v>#VALUE!</v>
      </c>
      <c r="I48" t="str">
        <f t="shared" si="0"/>
        <v>00:05:55,120 --&gt; 00:06:01,060</v>
      </c>
    </row>
    <row r="49" spans="1:9" x14ac:dyDescent="0.2">
      <c r="A49" s="2" t="s">
        <v>27</v>
      </c>
      <c r="G49" t="str">
        <f t="shared" si="1"/>
        <v>00:05:55</v>
      </c>
      <c r="H49" t="str">
        <f t="shared" si="2"/>
        <v>00:06:01</v>
      </c>
      <c r="I49" t="str">
        <f t="shared" si="0"/>
        <v>راح يكون درسنا اليوم عن الدائرة فيها بعض القوانين المكررة معكم ان شاء الله.</v>
      </c>
    </row>
    <row r="50" spans="1:9" x14ac:dyDescent="0.2">
      <c r="A50" s="3" t="s">
        <v>28</v>
      </c>
      <c r="G50" t="str">
        <f t="shared" si="1"/>
        <v>راح يكون</v>
      </c>
      <c r="H50" t="e">
        <f t="shared" si="2"/>
        <v>#VALUE!</v>
      </c>
      <c r="I50">
        <f t="shared" si="0"/>
        <v>0</v>
      </c>
    </row>
    <row r="51" spans="1:9" x14ac:dyDescent="0.2">
      <c r="G51" t="str">
        <f t="shared" si="1"/>
        <v/>
      </c>
      <c r="H51" t="e">
        <f t="shared" si="2"/>
        <v>#VALUE!</v>
      </c>
      <c r="I51" t="str">
        <f t="shared" si="0"/>
        <v>00:06:01,716 --&gt; 00:06:28,636</v>
      </c>
    </row>
    <row r="52" spans="1:9" x14ac:dyDescent="0.2">
      <c r="A52" s="2" t="s">
        <v>29</v>
      </c>
      <c r="G52" t="str">
        <f t="shared" si="1"/>
        <v>00:06:01</v>
      </c>
      <c r="H52" t="str">
        <f t="shared" si="2"/>
        <v>00:06:28</v>
      </c>
      <c r="I52" t="str">
        <f t="shared" si="0"/>
        <v>اه ان شاء الله. الدرس يكون سلس وسهل. احتاج منكم المشاركة. التفاعل. طبعا اليوم الحصة عن بعد تكون يعني المجموعات يعني ما في تعاون بين المجموعات. لكن ان شاء الله راح يكون التفاعل من خلال المايكات. انا ودي تطلبون مايكات ونناقش بعض الاسئلة دائما لما يكون في مناقشة تبيين بعض </v>
      </c>
    </row>
    <row r="53" spans="1:9" x14ac:dyDescent="0.2">
      <c r="A53" s="3" t="s">
        <v>30</v>
      </c>
      <c r="G53" t="str">
        <f t="shared" si="1"/>
        <v>اه ان شا</v>
      </c>
      <c r="H53" t="e">
        <f t="shared" si="2"/>
        <v>#VALUE!</v>
      </c>
      <c r="I53">
        <f t="shared" si="0"/>
        <v>0</v>
      </c>
    </row>
    <row r="54" spans="1:9" x14ac:dyDescent="0.2">
      <c r="G54" t="str">
        <f t="shared" si="1"/>
        <v/>
      </c>
      <c r="H54" t="e">
        <f t="shared" si="2"/>
        <v>#VALUE!</v>
      </c>
      <c r="I54" t="str">
        <f t="shared" si="0"/>
        <v>00:06:28,636 --&gt; 00:06:35,816</v>
      </c>
    </row>
    <row r="55" spans="1:9" x14ac:dyDescent="0.2">
      <c r="A55" s="2" t="s">
        <v>31</v>
      </c>
      <c r="G55" t="str">
        <f t="shared" si="1"/>
        <v>00:06:28</v>
      </c>
      <c r="H55" t="str">
        <f t="shared" si="2"/>
        <v>00:06:35</v>
      </c>
      <c r="I55" t="str">
        <f t="shared" si="0"/>
        <v>مثلا المفاهيم الخاطئة. اه لا ما في حبر فيه مبارزة الفرق </v>
      </c>
    </row>
    <row r="56" spans="1:9" x14ac:dyDescent="0.2">
      <c r="A56" s="3" t="s">
        <v>32</v>
      </c>
      <c r="G56" t="str">
        <f t="shared" si="1"/>
        <v>مثلا الم</v>
      </c>
      <c r="H56" t="e">
        <f t="shared" si="2"/>
        <v>#VALUE!</v>
      </c>
      <c r="I56">
        <f t="shared" si="0"/>
        <v>0</v>
      </c>
    </row>
    <row r="57" spans="1:9" x14ac:dyDescent="0.2">
      <c r="G57" t="str">
        <f t="shared" si="1"/>
        <v/>
      </c>
      <c r="H57" t="e">
        <f t="shared" si="2"/>
        <v>#VALUE!</v>
      </c>
      <c r="I57" t="str">
        <f t="shared" si="0"/>
        <v>00:06:35,816 --&gt; 00:07:47,496</v>
      </c>
    </row>
    <row r="58" spans="1:9" x14ac:dyDescent="0.2">
      <c r="A58" s="2" t="s">
        <v>33</v>
      </c>
      <c r="G58" t="str">
        <f t="shared" si="1"/>
        <v>00:06:35</v>
      </c>
      <c r="H58" t="str">
        <f t="shared" si="2"/>
        <v>00:07:47</v>
      </c>
      <c r="I58" t="str">
        <f t="shared" si="0"/>
        <v>في تدريبات جماعية لان ما في حبار. لكن عموما حتى لو كان في حبار يعني لما يكون ما في مجموعات فعالة. يعني راح نختصر الوقت ان شاء الله بالمناقشة عن طريق المايكات. بسم الله الرحمن الرحيم. نبدأ. حي الله الابطال. اليوم راح نراجع الدائرة. راح نراجع المستقيمات اللي في الدائرة مثل الوتر والقطر والمماس والزوايا ومحيط الدائرة ومساحتها والمضلعات في الدائرة زي المثلث والمربع لما يرسم داخل دائرة او يرسم خارج دائرة. فيه بعض العلاقات تنشأ بين هذه المضلعات والدائرة. اليوم ركزوا بس على اهم المستقيمات اللي داخل الدائرة. فيه مستقيم دائما نبحث عنه ويعني ما نقدر نحل الا من خلاله خاصة اذا كان السؤال عن مساحة او محيط وهي انصاف الاطار انصاف الاطار. ما هو نصف القطر؟ هو القطعة الواصلة بين مركز الدائرة الى الدائرة. </v>
      </c>
    </row>
    <row r="59" spans="1:9" x14ac:dyDescent="0.2">
      <c r="A59" s="3" t="s">
        <v>34</v>
      </c>
      <c r="G59" t="str">
        <f t="shared" si="1"/>
        <v>في تدريب</v>
      </c>
      <c r="H59" t="e">
        <f t="shared" si="2"/>
        <v>#VALUE!</v>
      </c>
      <c r="I59">
        <f t="shared" si="0"/>
        <v>0</v>
      </c>
    </row>
    <row r="60" spans="1:9" x14ac:dyDescent="0.2">
      <c r="G60" t="str">
        <f t="shared" si="1"/>
        <v/>
      </c>
      <c r="H60" t="e">
        <f t="shared" si="2"/>
        <v>#VALUE!</v>
      </c>
      <c r="I60" t="str">
        <f t="shared" si="0"/>
        <v>00:07:47,496 --&gt; 00:07:49,756</v>
      </c>
    </row>
    <row r="61" spans="1:9" x14ac:dyDescent="0.2">
      <c r="A61" s="2" t="s">
        <v>35</v>
      </c>
      <c r="G61" t="str">
        <f t="shared" si="1"/>
        <v>00:07:47</v>
      </c>
      <c r="H61" t="str">
        <f t="shared" si="2"/>
        <v>00:07:49</v>
      </c>
      <c r="I61" t="str">
        <f t="shared" si="0"/>
        <v>طيب ما هو؟ اه</v>
      </c>
    </row>
    <row r="62" spans="1:9" x14ac:dyDescent="0.2">
      <c r="A62" s="3" t="s">
        <v>36</v>
      </c>
      <c r="G62" t="str">
        <f t="shared" si="1"/>
        <v>طيب ما ه</v>
      </c>
      <c r="H62" t="e">
        <f t="shared" si="2"/>
        <v>#VALUE!</v>
      </c>
      <c r="I62">
        <f t="shared" si="0"/>
        <v>0</v>
      </c>
    </row>
    <row r="63" spans="1:9" x14ac:dyDescent="0.2">
      <c r="G63" t="str">
        <f t="shared" si="1"/>
        <v/>
      </c>
      <c r="H63" t="e">
        <f t="shared" si="2"/>
        <v>#VALUE!</v>
      </c>
      <c r="I63" t="str">
        <f t="shared" si="0"/>
        <v>00:07:51,096 --&gt; 00:08:51,536</v>
      </c>
    </row>
    <row r="64" spans="1:9" x14ac:dyDescent="0.2">
      <c r="A64" s="2" t="s">
        <v>37</v>
      </c>
      <c r="G64" t="str">
        <f t="shared" si="1"/>
        <v>00:07:51</v>
      </c>
      <c r="H64" t="str">
        <f t="shared" si="2"/>
        <v>00:08:51</v>
      </c>
      <c r="I64" t="str">
        <f t="shared" si="0"/>
        <v> ما هو الوتر؟ هو قطعة لا تمر بمركز الدائرة تلقاها تمر بين نقطتين على الدائرة. ما هو القطر؟ هو نقطة تصل من نقطة على الدائرة الى نقطة اخرى على الدائرة مرورا بالمركز. هذا هو القطر. طبعا نحن القطر نحتاجه في المحيط لان المحيط هو عبارة عن القطر في طاء. طيب نصف القطر متى نحتاجه؟ نحتاجه ايضا في المحيط. يمكن نقول اثنين نق اثنين نق في طاء. هذا يعطينا المحيط. طبعا اثنين نق اللي هو القطر. ايضا نحتاجه بشكل اساسي في المساحة في مساحة الدائرة. طيب ما هو المماس؟ المماس هو المستقيم المار على نقطة خارج يعني يمس الدائرة في نقطة على الدائرة. طيب ما علاقة المماس بالقطر دائما؟ اي نصف قطر </v>
      </c>
    </row>
    <row r="65" spans="1:9" x14ac:dyDescent="0.2">
      <c r="A65" s="3" t="s">
        <v>38</v>
      </c>
      <c r="G65" t="str">
        <f t="shared" ref="G65:G128" si="3">LEFT(A65, 8)</f>
        <v> ما هو ا</v>
      </c>
      <c r="H65" t="e">
        <f t="shared" ref="H65:H128" si="4">LEFT(TRIM(MID(A65, FIND("--&gt;", A65)+3, 20)), 8)</f>
        <v>#VALUE!</v>
      </c>
      <c r="I65">
        <f t="shared" ref="I65:I128" si="5">A66</f>
        <v>0</v>
      </c>
    </row>
    <row r="66" spans="1:9" x14ac:dyDescent="0.2">
      <c r="G66" t="str">
        <f t="shared" si="3"/>
        <v/>
      </c>
      <c r="H66" t="e">
        <f t="shared" si="4"/>
        <v>#VALUE!</v>
      </c>
      <c r="I66" t="str">
        <f t="shared" si="5"/>
        <v>00:08:51,536 --&gt; 00:09:10,376</v>
      </c>
    </row>
    <row r="67" spans="1:9" x14ac:dyDescent="0.2">
      <c r="A67" s="2" t="s">
        <v>39</v>
      </c>
      <c r="G67" t="str">
        <f t="shared" si="3"/>
        <v>00:08:51</v>
      </c>
      <c r="H67" t="str">
        <f t="shared" si="4"/>
        <v>00:09:10</v>
      </c>
      <c r="I67" t="str">
        <f t="shared" si="5"/>
        <v>يلتقي مع المماس في النقطة اللي على الدائرة يشكلان زاوية قائمة. يعني يكونون متعامدان المماس للدائرة عمودي على قطرها في نقطة التماس. طيب هنا في بيجينا سؤال او سؤالين على هذي الخاصية. انتبهوا يا شباب </v>
      </c>
    </row>
    <row r="68" spans="1:9" x14ac:dyDescent="0.2">
      <c r="A68" s="3" t="s">
        <v>40</v>
      </c>
      <c r="G68" t="str">
        <f t="shared" si="3"/>
        <v>يلتقي مع</v>
      </c>
      <c r="H68" t="e">
        <f t="shared" si="4"/>
        <v>#VALUE!</v>
      </c>
      <c r="I68">
        <f t="shared" si="5"/>
        <v>0</v>
      </c>
    </row>
    <row r="69" spans="1:9" x14ac:dyDescent="0.2">
      <c r="G69" t="str">
        <f t="shared" si="3"/>
        <v/>
      </c>
      <c r="H69" t="e">
        <f t="shared" si="4"/>
        <v>#VALUE!</v>
      </c>
      <c r="I69" t="str">
        <f t="shared" si="5"/>
        <v>00:09:10,376 --&gt; 00:09:36,396</v>
      </c>
    </row>
    <row r="70" spans="1:9" x14ac:dyDescent="0.2">
      <c r="A70" s="2" t="s">
        <v>41</v>
      </c>
      <c r="G70" t="str">
        <f t="shared" si="3"/>
        <v>00:09:10</v>
      </c>
      <c r="H70" t="str">
        <f t="shared" si="4"/>
        <v>00:09:36</v>
      </c>
      <c r="I70" t="str">
        <f t="shared" si="5"/>
        <v>المماسان مرسومان من نفس النقطة يكونان متطابقان. المماسان مرسومان من نفس النقطة يكونان متطابقان. وهذه نشوفها ايضا بيكون عليها سؤال. طيب المستقيم الواصل من مركز الدائرة الى الوتر عموديا ينصف الوتر الى قطعتين متساويتين ينصف الوتر. </v>
      </c>
    </row>
    <row r="71" spans="1:9" x14ac:dyDescent="0.2">
      <c r="A71" s="3" t="s">
        <v>42</v>
      </c>
      <c r="G71" t="str">
        <f t="shared" si="3"/>
        <v>المماسان</v>
      </c>
      <c r="H71" t="e">
        <f t="shared" si="4"/>
        <v>#VALUE!</v>
      </c>
      <c r="I71">
        <f t="shared" si="5"/>
        <v>0</v>
      </c>
    </row>
    <row r="72" spans="1:9" x14ac:dyDescent="0.2">
      <c r="G72" t="str">
        <f t="shared" si="3"/>
        <v/>
      </c>
      <c r="H72" t="e">
        <f t="shared" si="4"/>
        <v>#VALUE!</v>
      </c>
      <c r="I72" t="str">
        <f t="shared" si="5"/>
        <v>00:09:36,396 --&gt; 00:09:59,196</v>
      </c>
    </row>
    <row r="73" spans="1:9" x14ac:dyDescent="0.2">
      <c r="A73" s="2" t="s">
        <v>43</v>
      </c>
      <c r="G73" t="str">
        <f t="shared" si="3"/>
        <v>00:09:36</v>
      </c>
      <c r="H73" t="str">
        <f t="shared" si="4"/>
        <v>00:09:59</v>
      </c>
      <c r="I73" t="str">
        <f t="shared" si="5"/>
        <v>اذا اي وتر اي دائرة فيها وتر. لو رسمت قطعة عمودية ما هو نصف قطر النصف القطر لازم يوصل الى الدائرة. هذا ما وصل الى الدائرة. هذا قطعة من مركز الدائرة الى الوتر لكن عموديا فانه ينصف الوتر الى قطعتين متساويتين. </v>
      </c>
    </row>
    <row r="74" spans="1:9" x14ac:dyDescent="0.2">
      <c r="A74" s="3" t="s">
        <v>44</v>
      </c>
      <c r="G74" t="str">
        <f t="shared" si="3"/>
        <v>اذا اي و</v>
      </c>
      <c r="H74" t="e">
        <f t="shared" si="4"/>
        <v>#VALUE!</v>
      </c>
      <c r="I74">
        <f t="shared" si="5"/>
        <v>0</v>
      </c>
    </row>
    <row r="75" spans="1:9" x14ac:dyDescent="0.2">
      <c r="G75" t="str">
        <f t="shared" si="3"/>
        <v/>
      </c>
      <c r="H75" t="e">
        <f t="shared" si="4"/>
        <v>#VALUE!</v>
      </c>
      <c r="I75" t="str">
        <f t="shared" si="5"/>
        <v>00:09:59,256 --&gt; 00:10:08,856</v>
      </c>
    </row>
    <row r="76" spans="1:9" x14ac:dyDescent="0.2">
      <c r="A76" s="2" t="s">
        <v>45</v>
      </c>
      <c r="G76" t="str">
        <f t="shared" si="3"/>
        <v>00:09:59</v>
      </c>
      <c r="H76" t="str">
        <f t="shared" si="4"/>
        <v>00:10:08</v>
      </c>
      <c r="I76" t="str">
        <f t="shared" si="5"/>
        <v>هذه ايضا قد نحتاج نبدأ تحقق من الفهم. بسم الله. </v>
      </c>
    </row>
    <row r="77" spans="1:9" x14ac:dyDescent="0.2">
      <c r="A77" s="3" t="s">
        <v>46</v>
      </c>
      <c r="G77" t="str">
        <f t="shared" si="3"/>
        <v>هذه ايضا</v>
      </c>
      <c r="H77" t="e">
        <f t="shared" si="4"/>
        <v>#VALUE!</v>
      </c>
      <c r="I77">
        <f t="shared" si="5"/>
        <v>0</v>
      </c>
    </row>
    <row r="78" spans="1:9" x14ac:dyDescent="0.2">
      <c r="G78" t="str">
        <f t="shared" si="3"/>
        <v/>
      </c>
      <c r="H78" t="e">
        <f t="shared" si="4"/>
        <v>#VALUE!</v>
      </c>
      <c r="I78" t="str">
        <f t="shared" si="5"/>
        <v>00:10:09,216 --&gt; 00:10:48,436</v>
      </c>
    </row>
    <row r="79" spans="1:9" x14ac:dyDescent="0.2">
      <c r="A79" s="2" t="s">
        <v>47</v>
      </c>
      <c r="G79" t="str">
        <f t="shared" si="3"/>
        <v>00:10:09</v>
      </c>
      <c r="H79" t="str">
        <f t="shared" si="4"/>
        <v>00:10:48</v>
      </c>
      <c r="I79" t="str">
        <f t="shared" si="5"/>
        <v>انتبهوا يا شباب. هذا السؤال. ايجاد المحيط. محيط المثلث هو مجموع اضلاعه. طيب يا استاذ، هل الاضلاع موجودة كاملة؟ لا نعطيك من كل ضلع قطعة. لكن تذكروا ان المماسان المنطلقان من نقطة واحدة متطابقان. المماسان المنطلقان من نقطة واحدة متطابقان. اذا اول شيء لازم تكمل اضلاع المثلث. لازم تكمل قياساتها بعدين تجمعها. ابغى احد يطلب مايك </v>
      </c>
    </row>
    <row r="80" spans="1:9" x14ac:dyDescent="0.2">
      <c r="A80" s="3" t="s">
        <v>48</v>
      </c>
      <c r="G80" t="str">
        <f t="shared" si="3"/>
        <v xml:space="preserve">انتبهوا </v>
      </c>
      <c r="H80" t="e">
        <f t="shared" si="4"/>
        <v>#VALUE!</v>
      </c>
      <c r="I80">
        <f t="shared" si="5"/>
        <v>0</v>
      </c>
    </row>
    <row r="81" spans="1:9" x14ac:dyDescent="0.2">
      <c r="G81" t="str">
        <f t="shared" si="3"/>
        <v/>
      </c>
      <c r="H81" t="e">
        <f t="shared" si="4"/>
        <v>#VALUE!</v>
      </c>
      <c r="I81" t="str">
        <f t="shared" si="5"/>
        <v>00:10:48,436 --&gt; 00:10:53,696</v>
      </c>
    </row>
    <row r="82" spans="1:9" x14ac:dyDescent="0.2">
      <c r="A82" s="2" t="s">
        <v>49</v>
      </c>
      <c r="G82" t="str">
        <f t="shared" si="3"/>
        <v>00:10:48</v>
      </c>
      <c r="H82" t="str">
        <f t="shared" si="4"/>
        <v>00:10:53</v>
      </c>
      <c r="I82" t="str">
        <f t="shared" si="5"/>
        <v>من الان اربع اصوات صحيحة. </v>
      </c>
    </row>
    <row r="83" spans="1:9" x14ac:dyDescent="0.2">
      <c r="A83" s="3" t="s">
        <v>50</v>
      </c>
      <c r="G83" t="str">
        <f t="shared" si="3"/>
        <v xml:space="preserve">من الان </v>
      </c>
      <c r="H83" t="e">
        <f t="shared" si="4"/>
        <v>#VALUE!</v>
      </c>
      <c r="I83">
        <f t="shared" si="5"/>
        <v>0</v>
      </c>
    </row>
    <row r="84" spans="1:9" x14ac:dyDescent="0.2">
      <c r="G84" t="str">
        <f t="shared" si="3"/>
        <v/>
      </c>
      <c r="H84" t="e">
        <f t="shared" si="4"/>
        <v>#VALUE!</v>
      </c>
      <c r="I84" t="str">
        <f t="shared" si="5"/>
        <v>00:10:53,696 --&gt; 00:11:15,376</v>
      </c>
    </row>
    <row r="85" spans="1:9" x14ac:dyDescent="0.2">
      <c r="A85" s="2" t="s">
        <v>51</v>
      </c>
      <c r="G85" t="str">
        <f t="shared" si="3"/>
        <v>00:10:53</v>
      </c>
      <c r="H85" t="str">
        <f t="shared" si="4"/>
        <v>00:11:15</v>
      </c>
      <c r="I85" t="str">
        <f t="shared" si="5"/>
        <v>3 اصوات رجعت 4 اصوات. رجعت 3. 4. لكن الاغلبية للاسف اصوات خاطئة. يعطيكم العافية. ممتازين. احد يطلب مايك يا شباب؟ يلا عندي فارس. تفضل يا فارس. </v>
      </c>
    </row>
    <row r="86" spans="1:9" x14ac:dyDescent="0.2">
      <c r="A86" s="3" t="s">
        <v>52</v>
      </c>
      <c r="G86" t="str">
        <f t="shared" si="3"/>
        <v xml:space="preserve">3 اصوات </v>
      </c>
      <c r="H86" t="e">
        <f t="shared" si="4"/>
        <v>#VALUE!</v>
      </c>
      <c r="I86">
        <f t="shared" si="5"/>
        <v>0</v>
      </c>
    </row>
    <row r="87" spans="1:9" x14ac:dyDescent="0.2">
      <c r="G87" t="str">
        <f t="shared" si="3"/>
        <v/>
      </c>
      <c r="H87" t="e">
        <f t="shared" si="4"/>
        <v>#VALUE!</v>
      </c>
      <c r="I87" t="str">
        <f t="shared" si="5"/>
        <v>00:11:15,376 --&gt; 00:11:17,496</v>
      </c>
    </row>
    <row r="88" spans="1:9" x14ac:dyDescent="0.2">
      <c r="A88" s="2" t="s">
        <v>53</v>
      </c>
      <c r="G88" t="str">
        <f t="shared" si="3"/>
        <v>00:11:15</v>
      </c>
      <c r="H88" t="str">
        <f t="shared" si="4"/>
        <v>00:11:17</v>
      </c>
      <c r="I88" t="str">
        <f t="shared" si="5"/>
        <v>يلا يا فاريس سلام عليكم. </v>
      </c>
    </row>
    <row r="89" spans="1:9" x14ac:dyDescent="0.2">
      <c r="A89" s="3" t="s">
        <v>54</v>
      </c>
      <c r="G89" t="str">
        <f t="shared" si="3"/>
        <v>يلا يا ف</v>
      </c>
      <c r="H89" t="e">
        <f t="shared" si="4"/>
        <v>#VALUE!</v>
      </c>
      <c r="I89">
        <f t="shared" si="5"/>
        <v>0</v>
      </c>
    </row>
    <row r="90" spans="1:9" x14ac:dyDescent="0.2">
      <c r="G90" t="str">
        <f t="shared" si="3"/>
        <v/>
      </c>
      <c r="H90" t="e">
        <f t="shared" si="4"/>
        <v>#VALUE!</v>
      </c>
      <c r="I90" t="str">
        <f t="shared" si="5"/>
        <v>00:11:17,496 --&gt; 00:11:20,676</v>
      </c>
    </row>
    <row r="91" spans="1:9" x14ac:dyDescent="0.2">
      <c r="A91" s="2" t="s">
        <v>55</v>
      </c>
      <c r="G91" t="str">
        <f t="shared" si="3"/>
        <v>00:11:17</v>
      </c>
      <c r="H91" t="str">
        <f t="shared" si="4"/>
        <v>00:11:20</v>
      </c>
      <c r="I91" t="str">
        <f t="shared" si="5"/>
        <v>عليكم السلام ورحمة الله وبركاته. </v>
      </c>
    </row>
    <row r="92" spans="1:9" x14ac:dyDescent="0.2">
      <c r="A92" s="3" t="s">
        <v>56</v>
      </c>
      <c r="G92" t="str">
        <f t="shared" si="3"/>
        <v>عليكم ال</v>
      </c>
      <c r="H92" t="e">
        <f t="shared" si="4"/>
        <v>#VALUE!</v>
      </c>
      <c r="I92">
        <f t="shared" si="5"/>
        <v>0</v>
      </c>
    </row>
    <row r="93" spans="1:9" x14ac:dyDescent="0.2">
      <c r="G93" t="str">
        <f t="shared" si="3"/>
        <v/>
      </c>
      <c r="H93" t="e">
        <f t="shared" si="4"/>
        <v>#VALUE!</v>
      </c>
      <c r="I93" t="str">
        <f t="shared" si="5"/>
        <v>00:11:20,676 --&gt; 00:11:36,736</v>
      </c>
    </row>
    <row r="94" spans="1:9" x14ac:dyDescent="0.2">
      <c r="A94" s="2" t="s">
        <v>57</v>
      </c>
      <c r="G94" t="str">
        <f t="shared" si="3"/>
        <v>00:11:20</v>
      </c>
      <c r="H94" t="str">
        <f t="shared" si="4"/>
        <v>00:11:36</v>
      </c>
      <c r="I94" t="str">
        <f t="shared" si="5"/>
        <v>حليتها بالبركة قصدي بالبركة. قصدي شفت شفتها واحد واربعين اخترتها. بعدين يوم ما تتكلم قلت اه هو متطابق ضربت في اثنين طلع لي اثنين وثمانين. هذا بالحظ. </v>
      </c>
    </row>
    <row r="95" spans="1:9" x14ac:dyDescent="0.2">
      <c r="A95" s="3" t="s">
        <v>58</v>
      </c>
      <c r="G95" t="str">
        <f t="shared" si="3"/>
        <v>حليتها ب</v>
      </c>
      <c r="H95" t="e">
        <f t="shared" si="4"/>
        <v>#VALUE!</v>
      </c>
      <c r="I95">
        <f t="shared" si="5"/>
        <v>0</v>
      </c>
    </row>
    <row r="96" spans="1:9" x14ac:dyDescent="0.2">
      <c r="G96" t="str">
        <f t="shared" si="3"/>
        <v/>
      </c>
      <c r="H96" t="e">
        <f t="shared" si="4"/>
        <v>#VALUE!</v>
      </c>
      <c r="I96" t="str">
        <f t="shared" si="5"/>
        <v>00:11:36,736 --&gt; 00:11:37,316</v>
      </c>
    </row>
    <row r="97" spans="1:9" x14ac:dyDescent="0.2">
      <c r="A97" s="2" t="s">
        <v>59</v>
      </c>
      <c r="G97" t="str">
        <f t="shared" si="3"/>
        <v>00:11:36</v>
      </c>
      <c r="H97" t="str">
        <f t="shared" si="4"/>
        <v>00:11:37</v>
      </c>
      <c r="I97" t="str">
        <f t="shared" si="5"/>
        <v>والله انك </v>
      </c>
    </row>
    <row r="98" spans="1:9" x14ac:dyDescent="0.2">
      <c r="A98" s="3" t="s">
        <v>60</v>
      </c>
      <c r="G98" t="str">
        <f t="shared" si="3"/>
        <v>والله ان</v>
      </c>
      <c r="H98" t="e">
        <f t="shared" si="4"/>
        <v>#VALUE!</v>
      </c>
      <c r="I98">
        <f t="shared" si="5"/>
        <v>0</v>
      </c>
    </row>
    <row r="99" spans="1:9" x14ac:dyDescent="0.2">
      <c r="G99" t="str">
        <f t="shared" si="3"/>
        <v/>
      </c>
      <c r="H99" t="e">
        <f t="shared" si="4"/>
        <v>#VALUE!</v>
      </c>
      <c r="I99" t="str">
        <f t="shared" si="5"/>
        <v>00:11:37,316 --&gt; 00:11:41,336</v>
      </c>
    </row>
    <row r="100" spans="1:9" x14ac:dyDescent="0.2">
      <c r="A100" s="2" t="s">
        <v>61</v>
      </c>
      <c r="G100" t="str">
        <f t="shared" si="3"/>
        <v>00:11:37</v>
      </c>
      <c r="H100" t="str">
        <f t="shared" si="4"/>
        <v>00:11:41</v>
      </c>
      <c r="I100" t="str">
        <f t="shared" si="5"/>
        <v>بالحظ والبركة ولا استخدم شوي الذكاء. </v>
      </c>
    </row>
    <row r="101" spans="1:9" x14ac:dyDescent="0.2">
      <c r="A101" s="3" t="s">
        <v>62</v>
      </c>
      <c r="G101" t="str">
        <f t="shared" si="3"/>
        <v>بالحظ وا</v>
      </c>
      <c r="H101" t="e">
        <f t="shared" si="4"/>
        <v>#VALUE!</v>
      </c>
      <c r="I101">
        <f t="shared" si="5"/>
        <v>0</v>
      </c>
    </row>
    <row r="102" spans="1:9" x14ac:dyDescent="0.2">
      <c r="G102" t="str">
        <f t="shared" si="3"/>
        <v/>
      </c>
      <c r="H102" t="e">
        <f t="shared" si="4"/>
        <v>#VALUE!</v>
      </c>
      <c r="I102" t="str">
        <f t="shared" si="5"/>
        <v>00:11:41,336 --&gt; 00:11:51,966</v>
      </c>
    </row>
    <row r="103" spans="1:9" x14ac:dyDescent="0.2">
      <c r="A103" s="2" t="s">
        <v>63</v>
      </c>
      <c r="G103" t="str">
        <f t="shared" si="3"/>
        <v>00:11:41</v>
      </c>
      <c r="H103" t="str">
        <f t="shared" si="4"/>
        <v>00:11:51</v>
      </c>
      <c r="I103" t="str">
        <f t="shared" si="5"/>
        <v>والله بطل بطل والتركيز شاف التركيز. لما انا اعطيك تيسير في الحل ترى ركز لاني افتح لك ادراك اكثر يعني. ايوه طيب انت معاي. </v>
      </c>
    </row>
    <row r="104" spans="1:9" x14ac:dyDescent="0.2">
      <c r="A104" s="3" t="s">
        <v>64</v>
      </c>
      <c r="G104" t="str">
        <f t="shared" si="3"/>
        <v>والله بط</v>
      </c>
      <c r="H104" t="e">
        <f t="shared" si="4"/>
        <v>#VALUE!</v>
      </c>
      <c r="I104">
        <f t="shared" si="5"/>
        <v>0</v>
      </c>
    </row>
    <row r="105" spans="1:9" x14ac:dyDescent="0.2">
      <c r="G105" t="str">
        <f t="shared" si="3"/>
        <v/>
      </c>
      <c r="H105" t="e">
        <f t="shared" si="4"/>
        <v>#VALUE!</v>
      </c>
      <c r="I105" t="str">
        <f t="shared" si="5"/>
        <v>00:11:51,966 --&gt; 00:11:54,876</v>
      </c>
    </row>
    <row r="106" spans="1:9" x14ac:dyDescent="0.2">
      <c r="A106" s="2" t="s">
        <v>65</v>
      </c>
      <c r="G106" t="str">
        <f t="shared" si="3"/>
        <v>00:11:51</v>
      </c>
      <c r="H106" t="str">
        <f t="shared" si="4"/>
        <v>00:11:54</v>
      </c>
      <c r="I106" t="str">
        <f t="shared" si="5"/>
        <v>سعداء. </v>
      </c>
    </row>
    <row r="107" spans="1:9" x14ac:dyDescent="0.2">
      <c r="A107" s="3" t="s">
        <v>66</v>
      </c>
      <c r="G107" t="str">
        <f t="shared" si="3"/>
        <v>سعداء. </v>
      </c>
      <c r="H107" t="e">
        <f t="shared" si="4"/>
        <v>#VALUE!</v>
      </c>
      <c r="I107">
        <f t="shared" si="5"/>
        <v>0</v>
      </c>
    </row>
    <row r="108" spans="1:9" x14ac:dyDescent="0.2">
      <c r="G108" t="str">
        <f t="shared" si="3"/>
        <v/>
      </c>
      <c r="H108" t="e">
        <f t="shared" si="4"/>
        <v>#VALUE!</v>
      </c>
      <c r="I108" t="str">
        <f t="shared" si="5"/>
        <v>00:11:54,876 --&gt; 00:11:58,786</v>
      </c>
    </row>
    <row r="109" spans="1:9" x14ac:dyDescent="0.2">
      <c r="A109" s="2" t="s">
        <v>67</v>
      </c>
      <c r="G109" t="str">
        <f t="shared" si="3"/>
        <v>00:11:54</v>
      </c>
      <c r="H109" t="str">
        <f t="shared" si="4"/>
        <v>00:11:58</v>
      </c>
      <c r="I109" t="str">
        <f t="shared" si="5"/>
        <v>خلك معي يا فارس. تسمعني. الو. يا فارس. </v>
      </c>
    </row>
    <row r="110" spans="1:9" x14ac:dyDescent="0.2">
      <c r="A110" s="3" t="s">
        <v>68</v>
      </c>
      <c r="G110" t="str">
        <f t="shared" si="3"/>
        <v xml:space="preserve">خلك معي </v>
      </c>
      <c r="H110" t="e">
        <f t="shared" si="4"/>
        <v>#VALUE!</v>
      </c>
      <c r="I110">
        <f t="shared" si="5"/>
        <v>0</v>
      </c>
    </row>
    <row r="111" spans="1:9" x14ac:dyDescent="0.2">
      <c r="G111" t="str">
        <f t="shared" si="3"/>
        <v/>
      </c>
      <c r="H111" t="e">
        <f t="shared" si="4"/>
        <v>#VALUE!</v>
      </c>
      <c r="I111" t="str">
        <f t="shared" si="5"/>
        <v>00:11:58,786 --&gt; 00:11:59,915</v>
      </c>
    </row>
    <row r="112" spans="1:9" x14ac:dyDescent="0.2">
      <c r="A112" s="2" t="s">
        <v>69</v>
      </c>
      <c r="G112" t="str">
        <f t="shared" si="3"/>
        <v>00:11:58</v>
      </c>
      <c r="H112" t="str">
        <f t="shared" si="4"/>
        <v>00:11:59</v>
      </c>
      <c r="I112" t="str">
        <f t="shared" si="5"/>
        <v>اسمعك. اسمعك. </v>
      </c>
    </row>
    <row r="113" spans="1:9" x14ac:dyDescent="0.2">
      <c r="A113" s="3" t="s">
        <v>70</v>
      </c>
      <c r="G113" t="str">
        <f t="shared" si="3"/>
        <v>اسمعك. ا</v>
      </c>
      <c r="H113" t="e">
        <f t="shared" si="4"/>
        <v>#VALUE!</v>
      </c>
      <c r="I113">
        <f t="shared" si="5"/>
        <v>0</v>
      </c>
    </row>
    <row r="114" spans="1:9" x14ac:dyDescent="0.2">
      <c r="G114" t="str">
        <f t="shared" si="3"/>
        <v/>
      </c>
      <c r="H114" t="e">
        <f t="shared" si="4"/>
        <v>#VALUE!</v>
      </c>
      <c r="I114" t="str">
        <f t="shared" si="5"/>
        <v>00:11:59,915 --&gt; 00:12:06,356</v>
      </c>
    </row>
    <row r="115" spans="1:9" x14ac:dyDescent="0.2">
      <c r="A115" s="2" t="s">
        <v>71</v>
      </c>
      <c r="G115" t="str">
        <f t="shared" si="3"/>
        <v>00:11:59</v>
      </c>
      <c r="H115" t="str">
        <f t="shared" si="4"/>
        <v>00:12:06</v>
      </c>
      <c r="I115" t="str">
        <f t="shared" si="5"/>
        <v>صوتك. صوتك. راح. طيب. شوف لي هذي نقطة. صح؟ انطلق منها مماس. اوكي. </v>
      </c>
    </row>
    <row r="116" spans="1:9" x14ac:dyDescent="0.2">
      <c r="A116" s="3" t="s">
        <v>72</v>
      </c>
      <c r="G116" t="str">
        <f t="shared" si="3"/>
        <v>صوتك. صو</v>
      </c>
      <c r="H116" t="e">
        <f t="shared" si="4"/>
        <v>#VALUE!</v>
      </c>
      <c r="I116">
        <f t="shared" si="5"/>
        <v>0</v>
      </c>
    </row>
    <row r="117" spans="1:9" x14ac:dyDescent="0.2">
      <c r="G117" t="str">
        <f t="shared" si="3"/>
        <v/>
      </c>
      <c r="H117" t="e">
        <f t="shared" si="4"/>
        <v>#VALUE!</v>
      </c>
      <c r="I117" t="str">
        <f t="shared" si="5"/>
        <v>00:12:06,356 --&gt; 00:12:09,516</v>
      </c>
    </row>
    <row r="118" spans="1:9" x14ac:dyDescent="0.2">
      <c r="A118" s="2" t="s">
        <v>73</v>
      </c>
      <c r="G118" t="str">
        <f t="shared" si="3"/>
        <v>00:12:06</v>
      </c>
      <c r="H118" t="str">
        <f t="shared" si="4"/>
        <v>00:12:09</v>
      </c>
      <c r="I118" t="str">
        <f t="shared" si="5"/>
        <v>صح. واضح.</v>
      </c>
    </row>
    <row r="119" spans="1:9" x14ac:dyDescent="0.2">
      <c r="A119" s="3" t="s">
        <v>74</v>
      </c>
      <c r="G119" t="str">
        <f t="shared" si="3"/>
        <v>صح. واضح</v>
      </c>
      <c r="H119" t="e">
        <f t="shared" si="4"/>
        <v>#VALUE!</v>
      </c>
      <c r="I119">
        <f t="shared" si="5"/>
        <v>0</v>
      </c>
    </row>
    <row r="120" spans="1:9" x14ac:dyDescent="0.2">
      <c r="G120" t="str">
        <f t="shared" si="3"/>
        <v/>
      </c>
      <c r="H120" t="e">
        <f t="shared" si="4"/>
        <v>#VALUE!</v>
      </c>
      <c r="I120" t="str">
        <f t="shared" si="5"/>
        <v>00:12:11,096 --&gt; 00:12:19,336</v>
      </c>
    </row>
    <row r="121" spans="1:9" x14ac:dyDescent="0.2">
      <c r="A121" s="2" t="s">
        <v>75</v>
      </c>
      <c r="G121" t="str">
        <f t="shared" si="3"/>
        <v>00:12:11</v>
      </c>
      <c r="H121" t="str">
        <f t="shared" si="4"/>
        <v>00:12:19</v>
      </c>
      <c r="I121" t="str">
        <f t="shared" si="5"/>
        <v>هذا واضح واضح. ايوه طيب ومن نفس النقطة مماس. ايش قلنا قبل قليل. المماسين ايش فيهم. </v>
      </c>
    </row>
    <row r="122" spans="1:9" x14ac:dyDescent="0.2">
      <c r="A122" s="3" t="s">
        <v>76</v>
      </c>
      <c r="G122" t="str">
        <f t="shared" si="3"/>
        <v>هذا واضح</v>
      </c>
      <c r="H122" t="e">
        <f t="shared" si="4"/>
        <v>#VALUE!</v>
      </c>
      <c r="I122">
        <f t="shared" si="5"/>
        <v>0</v>
      </c>
    </row>
    <row r="123" spans="1:9" x14ac:dyDescent="0.2">
      <c r="G123" t="str">
        <f t="shared" si="3"/>
        <v/>
      </c>
      <c r="H123" t="e">
        <f t="shared" si="4"/>
        <v>#VALUE!</v>
      </c>
      <c r="I123" t="str">
        <f t="shared" si="5"/>
        <v>00:12:19,336 --&gt; 00:12:21,816</v>
      </c>
    </row>
    <row r="124" spans="1:9" x14ac:dyDescent="0.2">
      <c r="A124" s="2" t="s">
        <v>77</v>
      </c>
      <c r="G124" t="str">
        <f t="shared" si="3"/>
        <v>00:12:19</v>
      </c>
      <c r="H124" t="str">
        <f t="shared" si="4"/>
        <v>00:12:21</v>
      </c>
      <c r="I124" t="str">
        <f t="shared" si="5"/>
        <v>انه متساويين. </v>
      </c>
    </row>
    <row r="125" spans="1:9" x14ac:dyDescent="0.2">
      <c r="A125" s="3" t="s">
        <v>78</v>
      </c>
      <c r="G125" t="str">
        <f t="shared" si="3"/>
        <v>انه متسا</v>
      </c>
      <c r="H125" t="e">
        <f t="shared" si="4"/>
        <v>#VALUE!</v>
      </c>
      <c r="I125">
        <f t="shared" si="5"/>
        <v>0</v>
      </c>
    </row>
    <row r="126" spans="1:9" x14ac:dyDescent="0.2">
      <c r="G126" t="str">
        <f t="shared" si="3"/>
        <v/>
      </c>
      <c r="H126" t="e">
        <f t="shared" si="4"/>
        <v>#VALUE!</v>
      </c>
      <c r="I126" t="str">
        <f t="shared" si="5"/>
        <v>00:12:21,816 --&gt; 00:12:29,436</v>
      </c>
    </row>
    <row r="127" spans="1:9" x14ac:dyDescent="0.2">
      <c r="A127" s="2" t="s">
        <v>79</v>
      </c>
      <c r="G127" t="str">
        <f t="shared" si="3"/>
        <v>00:12:21</v>
      </c>
      <c r="H127" t="str">
        <f t="shared" si="4"/>
        <v>00:12:29</v>
      </c>
      <c r="I127" t="str">
        <f t="shared" si="5"/>
        <v>متطابقين. اي مماسات. اذا هذا 14. وهذا 14 صح. ايه </v>
      </c>
    </row>
    <row r="128" spans="1:9" x14ac:dyDescent="0.2">
      <c r="A128" s="3" t="s">
        <v>80</v>
      </c>
      <c r="G128" t="str">
        <f t="shared" si="3"/>
        <v>متطابقين</v>
      </c>
      <c r="H128" t="e">
        <f t="shared" si="4"/>
        <v>#VALUE!</v>
      </c>
      <c r="I128">
        <f t="shared" si="5"/>
        <v>0</v>
      </c>
    </row>
    <row r="129" spans="1:9" x14ac:dyDescent="0.2">
      <c r="G129" t="str">
        <f t="shared" ref="G129:G192" si="6">LEFT(A129, 8)</f>
        <v/>
      </c>
      <c r="H129" t="e">
        <f t="shared" ref="H129:H192" si="7">LEFT(TRIM(MID(A129, FIND("--&gt;", A129)+3, 20)), 8)</f>
        <v>#VALUE!</v>
      </c>
      <c r="I129" t="str">
        <f t="shared" ref="I129:I192" si="8">A130</f>
        <v>00:12:29,436 --&gt; 00:12:36,116</v>
      </c>
    </row>
    <row r="130" spans="1:9" x14ac:dyDescent="0.2">
      <c r="A130" s="2" t="s">
        <v>81</v>
      </c>
      <c r="G130" t="str">
        <f t="shared" si="6"/>
        <v>00:12:29</v>
      </c>
      <c r="H130" t="str">
        <f t="shared" si="7"/>
        <v>00:12:36</v>
      </c>
      <c r="I130" t="str">
        <f t="shared" si="8"/>
        <v>ممتاز. وهذا عندي هنا نقطة انطلق منها مماسان متطابقان. اذا هذا 10. هذا بيكون 10. </v>
      </c>
    </row>
    <row r="131" spans="1:9" x14ac:dyDescent="0.2">
      <c r="A131" s="3" t="s">
        <v>82</v>
      </c>
      <c r="G131" t="str">
        <f t="shared" si="6"/>
        <v>ممتاز. و</v>
      </c>
      <c r="H131" t="e">
        <f t="shared" si="7"/>
        <v>#VALUE!</v>
      </c>
      <c r="I131">
        <f t="shared" si="8"/>
        <v>0</v>
      </c>
    </row>
    <row r="132" spans="1:9" x14ac:dyDescent="0.2">
      <c r="G132" t="str">
        <f t="shared" si="6"/>
        <v/>
      </c>
      <c r="H132" t="e">
        <f t="shared" si="7"/>
        <v>#VALUE!</v>
      </c>
      <c r="I132" t="str">
        <f t="shared" si="8"/>
        <v>00:12:36,116 --&gt; 00:12:36,636</v>
      </c>
    </row>
    <row r="133" spans="1:9" x14ac:dyDescent="0.2">
      <c r="A133" s="2" t="s">
        <v>83</v>
      </c>
      <c r="G133" t="str">
        <f t="shared" si="6"/>
        <v>00:12:36</v>
      </c>
      <c r="H133" t="str">
        <f t="shared" si="7"/>
        <v>00:12:36</v>
      </c>
      <c r="I133" t="str">
        <f t="shared" si="8"/>
        <v>هذا 10. </v>
      </c>
    </row>
    <row r="134" spans="1:9" x14ac:dyDescent="0.2">
      <c r="A134" s="3" t="s">
        <v>84</v>
      </c>
      <c r="G134" t="str">
        <f t="shared" si="6"/>
        <v>هذا 10. </v>
      </c>
      <c r="H134" t="e">
        <f t="shared" si="7"/>
        <v>#VALUE!</v>
      </c>
      <c r="I134">
        <f t="shared" si="8"/>
        <v>0</v>
      </c>
    </row>
    <row r="135" spans="1:9" x14ac:dyDescent="0.2">
      <c r="G135" t="str">
        <f t="shared" si="6"/>
        <v/>
      </c>
      <c r="H135" t="e">
        <f t="shared" si="7"/>
        <v>#VALUE!</v>
      </c>
      <c r="I135" t="str">
        <f t="shared" si="8"/>
        <v>00:12:36,636 --&gt; 00:12:38,596</v>
      </c>
    </row>
    <row r="136" spans="1:9" x14ac:dyDescent="0.2">
      <c r="A136" s="2" t="s">
        <v>85</v>
      </c>
      <c r="G136" t="str">
        <f t="shared" si="6"/>
        <v>00:12:36</v>
      </c>
      <c r="H136" t="str">
        <f t="shared" si="7"/>
        <v>00:12:38</v>
      </c>
      <c r="I136" t="str">
        <f t="shared" si="8"/>
        <v>وعندي نقطة </v>
      </c>
    </row>
    <row r="137" spans="1:9" x14ac:dyDescent="0.2">
      <c r="A137" s="3" t="s">
        <v>86</v>
      </c>
      <c r="G137" t="str">
        <f t="shared" si="6"/>
        <v>وعندي نق</v>
      </c>
      <c r="H137" t="e">
        <f t="shared" si="7"/>
        <v>#VALUE!</v>
      </c>
      <c r="I137">
        <f t="shared" si="8"/>
        <v>0</v>
      </c>
    </row>
    <row r="138" spans="1:9" x14ac:dyDescent="0.2">
      <c r="G138" t="str">
        <f t="shared" si="6"/>
        <v/>
      </c>
      <c r="H138" t="e">
        <f t="shared" si="7"/>
        <v>#VALUE!</v>
      </c>
      <c r="I138" t="str">
        <f t="shared" si="8"/>
        <v>00:12:38,596 --&gt; 00:13:25,036</v>
      </c>
    </row>
    <row r="139" spans="1:9" x14ac:dyDescent="0.2">
      <c r="A139" s="2" t="s">
        <v>87</v>
      </c>
      <c r="G139" t="str">
        <f t="shared" si="6"/>
        <v>00:12:38</v>
      </c>
      <c r="H139" t="str">
        <f t="shared" si="7"/>
        <v>00:13:25</v>
      </c>
      <c r="I139" t="str">
        <f t="shared" si="8"/>
        <v>منهم مماسان متطابقان ايضا. اذا هذا يطابق هذا. اذا هذا 17. هذا 17 نفس ما سويته. تجمعها وتضربها في اثنين. لان عندي 10 مرتين وال 14 مرتين وال 17 مرتين فاجابتك صحيحة. فارس انت يوم قلت متطابقان جمعتهم ضربت في اثنين. ممتاز. زائد 14 زائد 17 يعطينا 41. طيب هذي ايش هذي؟ كل قطع لحالها طبعا نضربها في اثنين لان العشرة موجودة مرتين وال 14 مرتين وهكذا. اذا نضربها في اثنين يعطينا 82. هذه الاجابة الصحيحة واضح يا شباب تكتبون لي في الشات بيض على وجهك. يعطيك العافية. فارس شكرا لك </v>
      </c>
    </row>
    <row r="140" spans="1:9" x14ac:dyDescent="0.2">
      <c r="A140" s="3" t="s">
        <v>88</v>
      </c>
      <c r="G140" t="str">
        <f t="shared" si="6"/>
        <v>منهم مما</v>
      </c>
      <c r="H140" t="e">
        <f t="shared" si="7"/>
        <v>#VALUE!</v>
      </c>
      <c r="I140">
        <f t="shared" si="8"/>
        <v>0</v>
      </c>
    </row>
    <row r="141" spans="1:9" x14ac:dyDescent="0.2">
      <c r="G141" t="str">
        <f t="shared" si="6"/>
        <v/>
      </c>
      <c r="H141" t="e">
        <f t="shared" si="7"/>
        <v>#VALUE!</v>
      </c>
      <c r="I141" t="str">
        <f t="shared" si="8"/>
        <v>00:13:25,036 --&gt; 00:13:30,656</v>
      </c>
    </row>
    <row r="142" spans="1:9" x14ac:dyDescent="0.2">
      <c r="A142" s="2" t="s">
        <v>89</v>
      </c>
      <c r="G142" t="str">
        <f t="shared" si="6"/>
        <v>00:13:25</v>
      </c>
      <c r="H142" t="str">
        <f t="shared" si="7"/>
        <v>00:13:30</v>
      </c>
      <c r="I142" t="str">
        <f t="shared" si="8"/>
        <v>كفو يا فارس. </v>
      </c>
    </row>
    <row r="143" spans="1:9" x14ac:dyDescent="0.2">
      <c r="A143" s="3" t="s">
        <v>90</v>
      </c>
      <c r="G143" t="str">
        <f t="shared" si="6"/>
        <v>كفو يا ف</v>
      </c>
      <c r="H143" t="e">
        <f t="shared" si="7"/>
        <v>#VALUE!</v>
      </c>
      <c r="I143">
        <f t="shared" si="8"/>
        <v>0</v>
      </c>
    </row>
    <row r="144" spans="1:9" x14ac:dyDescent="0.2">
      <c r="G144" t="str">
        <f t="shared" si="6"/>
        <v/>
      </c>
      <c r="H144" t="e">
        <f t="shared" si="7"/>
        <v>#VALUE!</v>
      </c>
      <c r="I144" t="str">
        <f t="shared" si="8"/>
        <v>00:13:30,656 --&gt; 00:14:36,056</v>
      </c>
    </row>
    <row r="145" spans="1:9" x14ac:dyDescent="0.2">
      <c r="A145" s="2" t="s">
        <v>91</v>
      </c>
      <c r="G145" t="str">
        <f t="shared" si="6"/>
        <v>00:13:30</v>
      </c>
      <c r="H145" t="str">
        <f t="shared" si="7"/>
        <v>00:14:36</v>
      </c>
      <c r="I145" t="str">
        <f t="shared" si="8"/>
        <v>واضح يا شباب. ممتاز نمشي. طيب خلوكم معي هنا. عندنا الزاوية المحيطية والزاوية المركزية. ايش العلاقة بينهم؟ هذي دائرة عشان اوضحها لك اكثر. لو رسمت زاوية محيطية. قياس الزاوية المحيطية هي الزاوية التي ترسم يكون رأسها على محيط الدائرة ويقابلها قوس. هذا القوس. قياس الزاوية المحيطية. يعني لو قياس القوس 120. قياس الزاوية المحيطية اللي تقابلها بتكون 60 نص قياس القوس المقابل. طيب لو رسمنا من المركز زاوية مركزية على نفس القوس. قياس الزاوية المركزية تساوي قياس القوس المقابل لها. يعني قياس الزاوية المركزية هذي بتكون 120. اذا واضح تكتبون يا شباب. </v>
      </c>
    </row>
    <row r="146" spans="1:9" x14ac:dyDescent="0.2">
      <c r="A146" s="3" t="s">
        <v>92</v>
      </c>
      <c r="G146" t="str">
        <f t="shared" si="6"/>
        <v xml:space="preserve">واضح يا </v>
      </c>
      <c r="H146" t="e">
        <f t="shared" si="7"/>
        <v>#VALUE!</v>
      </c>
      <c r="I146">
        <f t="shared" si="8"/>
        <v>0</v>
      </c>
    </row>
    <row r="147" spans="1:9" x14ac:dyDescent="0.2">
      <c r="G147" t="str">
        <f t="shared" si="6"/>
        <v/>
      </c>
      <c r="H147" t="e">
        <f t="shared" si="7"/>
        <v>#VALUE!</v>
      </c>
      <c r="I147" t="str">
        <f t="shared" si="8"/>
        <v>00:14:36,056 --&gt; 00:14:42,256</v>
      </c>
    </row>
    <row r="148" spans="1:9" x14ac:dyDescent="0.2">
      <c r="A148" s="2" t="s">
        <v>93</v>
      </c>
      <c r="G148" t="str">
        <f t="shared" si="6"/>
        <v>00:14:36</v>
      </c>
      <c r="H148" t="str">
        <f t="shared" si="7"/>
        <v>00:14:42</v>
      </c>
      <c r="I148" t="str">
        <f t="shared" si="8"/>
        <v>واضح. مفهوم. حلو الكلام. </v>
      </c>
    </row>
    <row r="149" spans="1:9" x14ac:dyDescent="0.2">
      <c r="A149" s="3" t="s">
        <v>94</v>
      </c>
      <c r="G149" t="str">
        <f t="shared" si="6"/>
        <v>واضح. مف</v>
      </c>
      <c r="H149" t="e">
        <f t="shared" si="7"/>
        <v>#VALUE!</v>
      </c>
      <c r="I149">
        <f t="shared" si="8"/>
        <v>0</v>
      </c>
    </row>
    <row r="150" spans="1:9" x14ac:dyDescent="0.2">
      <c r="G150" t="str">
        <f t="shared" si="6"/>
        <v/>
      </c>
      <c r="H150" t="e">
        <f t="shared" si="7"/>
        <v>#VALUE!</v>
      </c>
      <c r="I150" t="str">
        <f t="shared" si="8"/>
        <v>00:14:43,756 --&gt; 00:15:12,236</v>
      </c>
    </row>
    <row r="151" spans="1:9" x14ac:dyDescent="0.2">
      <c r="A151" s="2" t="s">
        <v>95</v>
      </c>
      <c r="G151" t="str">
        <f t="shared" si="6"/>
        <v>00:14:43</v>
      </c>
      <c r="H151" t="str">
        <f t="shared" si="7"/>
        <v>00:15:12</v>
      </c>
      <c r="I151" t="str">
        <f t="shared" si="8"/>
        <v>ممتاز. اذا نفرق بين الزاوية المحيطية والزاوية المركزية. الزاوية المحيطية دائما هي نصف الزاوية المركزية. الزاوية المحيطية هي نصف الزاوية المركزية التي مرسومة معها على نفس القوس. يلا نروح للي بعده. طيب عندي زاوية محيطية لكن رأساها قطر الدائرة. اذا كم القوس اللي مقابل لها؟ </v>
      </c>
    </row>
    <row r="152" spans="1:9" x14ac:dyDescent="0.2">
      <c r="A152" s="3" t="s">
        <v>96</v>
      </c>
      <c r="G152" t="str">
        <f t="shared" si="6"/>
        <v>ممتاز. ا</v>
      </c>
      <c r="H152" t="e">
        <f t="shared" si="7"/>
        <v>#VALUE!</v>
      </c>
      <c r="I152">
        <f t="shared" si="8"/>
        <v>0</v>
      </c>
    </row>
    <row r="153" spans="1:9" x14ac:dyDescent="0.2">
      <c r="G153" t="str">
        <f t="shared" si="6"/>
        <v/>
      </c>
      <c r="H153" t="e">
        <f t="shared" si="7"/>
        <v>#VALUE!</v>
      </c>
      <c r="I153" t="str">
        <f t="shared" si="8"/>
        <v>00:15:13,396 --&gt; 00:15:16,036</v>
      </c>
    </row>
    <row r="154" spans="1:9" x14ac:dyDescent="0.2">
      <c r="A154" s="2" t="s">
        <v>97</v>
      </c>
      <c r="G154" t="str">
        <f t="shared" si="6"/>
        <v>00:15:13</v>
      </c>
      <c r="H154" t="str">
        <f t="shared" si="7"/>
        <v>00:15:16</v>
      </c>
      <c r="I154" t="str">
        <f t="shared" si="8"/>
        <v>كم القوس اللي يقابلها </v>
      </c>
    </row>
    <row r="155" spans="1:9" x14ac:dyDescent="0.2">
      <c r="A155" s="3" t="s">
        <v>98</v>
      </c>
      <c r="G155" t="str">
        <f t="shared" si="6"/>
        <v>كم القوس</v>
      </c>
      <c r="H155" t="e">
        <f t="shared" si="7"/>
        <v>#VALUE!</v>
      </c>
      <c r="I155">
        <f t="shared" si="8"/>
        <v>0</v>
      </c>
    </row>
    <row r="156" spans="1:9" x14ac:dyDescent="0.2">
      <c r="G156" t="str">
        <f t="shared" si="6"/>
        <v/>
      </c>
      <c r="H156" t="e">
        <f t="shared" si="7"/>
        <v>#VALUE!</v>
      </c>
      <c r="I156" t="str">
        <f t="shared" si="8"/>
        <v>00:15:16,036 --&gt; 00:15:28,996</v>
      </c>
    </row>
    <row r="157" spans="1:9" x14ac:dyDescent="0.2">
      <c r="A157" s="2" t="s">
        <v>99</v>
      </c>
      <c r="G157" t="str">
        <f t="shared" si="6"/>
        <v>00:15:16</v>
      </c>
      <c r="H157" t="str">
        <f t="shared" si="7"/>
        <v>00:15:28</v>
      </c>
      <c r="I157" t="str">
        <f t="shared" si="8"/>
        <v>نصف الدائرة اللي هو 180. قياس القوس 180. اذا الزاوية المحيطية في هذه الحالة ستكون زاوية قائمة. يعني قياسها 90. </v>
      </c>
    </row>
    <row r="158" spans="1:9" x14ac:dyDescent="0.2">
      <c r="A158" s="3" t="s">
        <v>100</v>
      </c>
      <c r="G158" t="str">
        <f t="shared" si="6"/>
        <v>نصف الدا</v>
      </c>
      <c r="H158" t="e">
        <f t="shared" si="7"/>
        <v>#VALUE!</v>
      </c>
      <c r="I158">
        <f t="shared" si="8"/>
        <v>0</v>
      </c>
    </row>
    <row r="159" spans="1:9" x14ac:dyDescent="0.2">
      <c r="G159" t="str">
        <f t="shared" si="6"/>
        <v/>
      </c>
      <c r="H159" t="e">
        <f t="shared" si="7"/>
        <v>#VALUE!</v>
      </c>
      <c r="I159" t="str">
        <f t="shared" si="8"/>
        <v>00:15:28,996 --&gt; 00:15:47,556</v>
      </c>
    </row>
    <row r="160" spans="1:9" x14ac:dyDescent="0.2">
      <c r="A160" s="2" t="s">
        <v>101</v>
      </c>
      <c r="G160" t="str">
        <f t="shared" si="6"/>
        <v>00:15:28</v>
      </c>
      <c r="H160" t="str">
        <f t="shared" si="7"/>
        <v>00:15:47</v>
      </c>
      <c r="I160" t="str">
        <f t="shared" si="8"/>
        <v>انتبه يا عبد الله خلاص بتفهم في هذا. يا عبد الله. الزاوية المحيطية. الزاوية المحيطية المرسومة على نصف دائرة قياسها 90. ليه؟ لان القوس المقابل لها هو نصف الدائرة 180. وش قلنا؟ الزاوية المحيطية </v>
      </c>
    </row>
    <row r="161" spans="1:9" x14ac:dyDescent="0.2">
      <c r="A161" s="3" t="s">
        <v>102</v>
      </c>
      <c r="G161" t="str">
        <f t="shared" si="6"/>
        <v>انتبه يا</v>
      </c>
      <c r="H161" t="e">
        <f t="shared" si="7"/>
        <v>#VALUE!</v>
      </c>
      <c r="I161">
        <f t="shared" si="8"/>
        <v>0</v>
      </c>
    </row>
    <row r="162" spans="1:9" x14ac:dyDescent="0.2">
      <c r="G162" t="str">
        <f t="shared" si="6"/>
        <v/>
      </c>
      <c r="H162" t="e">
        <f t="shared" si="7"/>
        <v>#VALUE!</v>
      </c>
      <c r="I162" t="str">
        <f t="shared" si="8"/>
        <v>00:15:47,556 --&gt; 00:16:16,616</v>
      </c>
    </row>
    <row r="163" spans="1:9" x14ac:dyDescent="0.2">
      <c r="A163" s="2" t="s">
        <v>103</v>
      </c>
      <c r="G163" t="str">
        <f t="shared" si="6"/>
        <v>00:15:47</v>
      </c>
      <c r="H163" t="str">
        <f t="shared" si="7"/>
        <v>00:16:16</v>
      </c>
      <c r="I163" t="str">
        <f t="shared" si="8"/>
        <v>دائما هي نصف قياس القوس المقابل لها. يعني لو القوس 60. الزاوية المحيطية 30. طيب لو في زاوية مركزية على نفس القوس يكون نفسه 60. فالزاوية المحيطية هي نصف الزاوية المركزية ونصف أيضا القوس المقابل لها. طيب هذه مهمة. هذه مهمة. الزاوية المحيطية التي على نصف دائرة </v>
      </c>
    </row>
    <row r="164" spans="1:9" x14ac:dyDescent="0.2">
      <c r="A164" s="3" t="s">
        <v>104</v>
      </c>
      <c r="G164" t="str">
        <f t="shared" si="6"/>
        <v>دائما هي</v>
      </c>
      <c r="H164" t="e">
        <f t="shared" si="7"/>
        <v>#VALUE!</v>
      </c>
      <c r="I164">
        <f t="shared" si="8"/>
        <v>0</v>
      </c>
    </row>
    <row r="165" spans="1:9" x14ac:dyDescent="0.2">
      <c r="G165" t="str">
        <f t="shared" si="6"/>
        <v/>
      </c>
      <c r="H165" t="e">
        <f t="shared" si="7"/>
        <v>#VALUE!</v>
      </c>
      <c r="I165" t="str">
        <f t="shared" si="8"/>
        <v>00:16:16,616 --&gt; 00:16:22,316</v>
      </c>
    </row>
    <row r="166" spans="1:9" x14ac:dyDescent="0.2">
      <c r="A166" s="2" t="s">
        <v>105</v>
      </c>
      <c r="G166" t="str">
        <f t="shared" si="6"/>
        <v>00:16:16</v>
      </c>
      <c r="H166" t="str">
        <f t="shared" si="7"/>
        <v>00:16:22</v>
      </c>
      <c r="I166" t="str">
        <f t="shared" si="8"/>
        <v>هي قياسها 90 زاوية قائمة. نروح للي بعده. </v>
      </c>
    </row>
    <row r="167" spans="1:9" x14ac:dyDescent="0.2">
      <c r="A167" s="3" t="s">
        <v>106</v>
      </c>
      <c r="G167" t="str">
        <f t="shared" si="6"/>
        <v>هي قياسه</v>
      </c>
      <c r="H167" t="e">
        <f t="shared" si="7"/>
        <v>#VALUE!</v>
      </c>
      <c r="I167">
        <f t="shared" si="8"/>
        <v>0</v>
      </c>
    </row>
    <row r="168" spans="1:9" x14ac:dyDescent="0.2">
      <c r="G168" t="str">
        <f t="shared" si="6"/>
        <v/>
      </c>
      <c r="H168" t="e">
        <f t="shared" si="7"/>
        <v>#VALUE!</v>
      </c>
      <c r="I168" t="str">
        <f t="shared" si="8"/>
        <v>00:16:23,656 --&gt; 00:16:36,196</v>
      </c>
    </row>
    <row r="169" spans="1:9" x14ac:dyDescent="0.2">
      <c r="A169" s="2" t="s">
        <v>107</v>
      </c>
      <c r="G169" t="str">
        <f t="shared" si="6"/>
        <v>00:16:23</v>
      </c>
      <c r="H169" t="str">
        <f t="shared" si="7"/>
        <v>00:16:36</v>
      </c>
      <c r="I169" t="str">
        <f t="shared" si="8"/>
        <v>عندنا زاوية اسمها الزاوية المماسية وهذه فيها أسئلة كثيرة. ما هي الزاوية المماسية؟ أنا ارسمها لك هنا. لو عندي دائرة. </v>
      </c>
    </row>
    <row r="170" spans="1:9" x14ac:dyDescent="0.2">
      <c r="A170" s="3" t="s">
        <v>108</v>
      </c>
      <c r="G170" t="str">
        <f t="shared" si="6"/>
        <v>عندنا زا</v>
      </c>
      <c r="H170" t="e">
        <f t="shared" si="7"/>
        <v>#VALUE!</v>
      </c>
      <c r="I170">
        <f t="shared" si="8"/>
        <v>0</v>
      </c>
    </row>
    <row r="171" spans="1:9" x14ac:dyDescent="0.2">
      <c r="G171" t="str">
        <f t="shared" si="6"/>
        <v/>
      </c>
      <c r="H171" t="e">
        <f t="shared" si="7"/>
        <v>#VALUE!</v>
      </c>
      <c r="I171" t="str">
        <f t="shared" si="8"/>
        <v>00:16:36,196 --&gt; 00:16:40,936</v>
      </c>
    </row>
    <row r="172" spans="1:9" x14ac:dyDescent="0.2">
      <c r="A172" s="2" t="s">
        <v>109</v>
      </c>
      <c r="G172" t="str">
        <f t="shared" si="6"/>
        <v>00:16:36</v>
      </c>
      <c r="H172" t="str">
        <f t="shared" si="7"/>
        <v>00:16:40</v>
      </c>
      <c r="I172" t="str">
        <f t="shared" si="8"/>
        <v>تمام. وهذا مركزها م. </v>
      </c>
    </row>
    <row r="173" spans="1:9" x14ac:dyDescent="0.2">
      <c r="A173" s="3" t="s">
        <v>110</v>
      </c>
      <c r="G173" t="str">
        <f t="shared" si="6"/>
        <v>تمام. وه</v>
      </c>
      <c r="H173" t="e">
        <f t="shared" si="7"/>
        <v>#VALUE!</v>
      </c>
      <c r="I173">
        <f t="shared" si="8"/>
        <v>0</v>
      </c>
    </row>
    <row r="174" spans="1:9" x14ac:dyDescent="0.2">
      <c r="G174" t="str">
        <f t="shared" si="6"/>
        <v/>
      </c>
      <c r="H174" t="e">
        <f t="shared" si="7"/>
        <v>#VALUE!</v>
      </c>
      <c r="I174" t="str">
        <f t="shared" si="8"/>
        <v>00:16:40,936 --&gt; 00:16:44,896</v>
      </c>
    </row>
    <row r="175" spans="1:9" x14ac:dyDescent="0.2">
      <c r="A175" s="2" t="s">
        <v>111</v>
      </c>
      <c r="G175" t="str">
        <f t="shared" si="6"/>
        <v>00:16:40</v>
      </c>
      <c r="H175" t="str">
        <f t="shared" si="7"/>
        <v>00:16:44</v>
      </c>
      <c r="I175" t="str">
        <f t="shared" si="8"/>
        <v>ورسمت زاوية مماسية. يعني </v>
      </c>
    </row>
    <row r="176" spans="1:9" x14ac:dyDescent="0.2">
      <c r="A176" s="3" t="s">
        <v>112</v>
      </c>
      <c r="G176" t="str">
        <f t="shared" si="6"/>
        <v>ورسمت زا</v>
      </c>
      <c r="H176" t="e">
        <f t="shared" si="7"/>
        <v>#VALUE!</v>
      </c>
      <c r="I176">
        <f t="shared" si="8"/>
        <v>0</v>
      </c>
    </row>
    <row r="177" spans="1:9" x14ac:dyDescent="0.2">
      <c r="G177" t="str">
        <f t="shared" si="6"/>
        <v/>
      </c>
      <c r="H177" t="e">
        <f t="shared" si="7"/>
        <v>#VALUE!</v>
      </c>
      <c r="I177" t="str">
        <f t="shared" si="8"/>
        <v>00:16:44,896 --&gt; 00:16:48,136</v>
      </c>
    </row>
    <row r="178" spans="1:9" x14ac:dyDescent="0.2">
      <c r="A178" s="2" t="s">
        <v>113</v>
      </c>
      <c r="G178" t="str">
        <f t="shared" si="6"/>
        <v>00:16:44</v>
      </c>
      <c r="H178" t="str">
        <f t="shared" si="7"/>
        <v>00:16:48</v>
      </c>
      <c r="I178" t="str">
        <f t="shared" si="8"/>
        <v>بهذا الشكل. </v>
      </c>
    </row>
    <row r="179" spans="1:9" x14ac:dyDescent="0.2">
      <c r="A179" s="3" t="s">
        <v>114</v>
      </c>
      <c r="G179" t="str">
        <f t="shared" si="6"/>
        <v>بهذا الش</v>
      </c>
      <c r="H179" t="e">
        <f t="shared" si="7"/>
        <v>#VALUE!</v>
      </c>
      <c r="I179">
        <f t="shared" si="8"/>
        <v>0</v>
      </c>
    </row>
    <row r="180" spans="1:9" x14ac:dyDescent="0.2">
      <c r="G180" t="str">
        <f t="shared" si="6"/>
        <v/>
      </c>
      <c r="H180" t="e">
        <f t="shared" si="7"/>
        <v>#VALUE!</v>
      </c>
      <c r="I180" t="str">
        <f t="shared" si="8"/>
        <v>00:16:48,136 --&gt; 00:16:59,856</v>
      </c>
    </row>
    <row r="181" spans="1:9" x14ac:dyDescent="0.2">
      <c r="A181" s="2" t="s">
        <v>115</v>
      </c>
      <c r="G181" t="str">
        <f t="shared" si="6"/>
        <v>00:16:48</v>
      </c>
      <c r="H181" t="str">
        <f t="shared" si="7"/>
        <v>00:16:59</v>
      </c>
      <c r="I181" t="str">
        <f t="shared" si="8"/>
        <v>يعني احد اضلاعها مماس. هذا مماس. والضلع الاخر وتر في الدائرة. شايفينها. اذا عندي هذه الزاوية اسمها زاوية </v>
      </c>
    </row>
    <row r="182" spans="1:9" x14ac:dyDescent="0.2">
      <c r="A182" s="3" t="s">
        <v>116</v>
      </c>
      <c r="G182" t="str">
        <f t="shared" si="6"/>
        <v>يعني احد</v>
      </c>
      <c r="H182" t="e">
        <f t="shared" si="7"/>
        <v>#VALUE!</v>
      </c>
      <c r="I182">
        <f t="shared" si="8"/>
        <v>0</v>
      </c>
    </row>
    <row r="183" spans="1:9" x14ac:dyDescent="0.2">
      <c r="G183" t="str">
        <f t="shared" si="6"/>
        <v/>
      </c>
      <c r="H183" t="e">
        <f t="shared" si="7"/>
        <v>#VALUE!</v>
      </c>
      <c r="I183" t="str">
        <f t="shared" si="8"/>
        <v>00:16:59,856 --&gt; 00:17:43,396</v>
      </c>
    </row>
    <row r="184" spans="1:9" x14ac:dyDescent="0.2">
      <c r="A184" s="2" t="s">
        <v>117</v>
      </c>
      <c r="G184" t="str">
        <f t="shared" si="6"/>
        <v>00:16:59</v>
      </c>
      <c r="H184" t="str">
        <f t="shared" si="7"/>
        <v>00:17:43</v>
      </c>
      <c r="I184" t="str">
        <f t="shared" si="8"/>
        <v>زاوية مماسية. طيب كيف اجيب قياسها؟ وش علاقتها بالدائرة يا استاذ؟ ركزوا معي. قياسها هي نصف القوس المرسومة عليه اللي عليه الوتر. شايفين الوتر هذا. الضلع الثاني قياسه هي نصف القوس. لا. الزاوية المماسية ما تكون قائمة الا لو كان ما هو وتر. كان نصف قطر. متى تكون الزاوية المماسية قائمة؟ اذا كان عندي مماس. والضلع الاخر نصف قطر. واضح يا كرم. والضلع الاخر نصف قطر. هنا تكون الزاوية المماسية قائمة. </v>
      </c>
    </row>
    <row r="185" spans="1:9" x14ac:dyDescent="0.2">
      <c r="A185" s="3" t="s">
        <v>118</v>
      </c>
      <c r="G185" t="str">
        <f t="shared" si="6"/>
        <v>زاوية مم</v>
      </c>
      <c r="H185" t="e">
        <f t="shared" si="7"/>
        <v>#VALUE!</v>
      </c>
      <c r="I185">
        <f t="shared" si="8"/>
        <v>0</v>
      </c>
    </row>
    <row r="186" spans="1:9" x14ac:dyDescent="0.2">
      <c r="G186" t="str">
        <f t="shared" si="6"/>
        <v/>
      </c>
      <c r="H186" t="e">
        <f t="shared" si="7"/>
        <v>#VALUE!</v>
      </c>
      <c r="I186" t="str">
        <f t="shared" si="8"/>
        <v>00:17:44,696 --&gt; 00:18:13,176</v>
      </c>
    </row>
    <row r="187" spans="1:9" x14ac:dyDescent="0.2">
      <c r="A187" s="2" t="s">
        <v>119</v>
      </c>
      <c r="G187" t="str">
        <f t="shared" si="6"/>
        <v>00:17:44</v>
      </c>
      <c r="H187" t="str">
        <f t="shared" si="7"/>
        <v>00:18:13</v>
      </c>
      <c r="I187" t="str">
        <f t="shared" si="8"/>
        <v>لا. الزاوية المماسية ضلع منها خارج الدائرة التي هو المماس. وضلع منها هو وتر داخل الدائرة. طيب ايش علاقتها بالدائرة؟ القوس اللي مرسوم عليه الوتر. قياسه هو نصف نصفه هو قياس الزاوية المماسية. تمام. واضح يعني لو كان هذا القوس قياسه مثلا 80. كم قياس الزاوية؟ مثلا س هنا كم س تساوي. جاوبوا يا شباب.</v>
      </c>
    </row>
    <row r="188" spans="1:9" x14ac:dyDescent="0.2">
      <c r="A188" s="3" t="s">
        <v>120</v>
      </c>
      <c r="G188" t="str">
        <f t="shared" si="6"/>
        <v>لا. الزا</v>
      </c>
      <c r="H188" t="e">
        <f t="shared" si="7"/>
        <v>#VALUE!</v>
      </c>
      <c r="I188">
        <f t="shared" si="8"/>
        <v>0</v>
      </c>
    </row>
    <row r="189" spans="1:9" x14ac:dyDescent="0.2">
      <c r="G189" t="str">
        <f t="shared" si="6"/>
        <v/>
      </c>
      <c r="H189" t="e">
        <f t="shared" si="7"/>
        <v>#VALUE!</v>
      </c>
      <c r="I189" t="str">
        <f t="shared" si="8"/>
        <v>00:18:14,928 --&gt; 00:18:14,938</v>
      </c>
    </row>
    <row r="190" spans="1:9" x14ac:dyDescent="0.2">
      <c r="A190" s="2" t="s">
        <v>121</v>
      </c>
      <c r="G190" t="str">
        <f t="shared" si="6"/>
        <v>00:18:14</v>
      </c>
      <c r="H190" t="str">
        <f t="shared" si="7"/>
        <v>00:18:14</v>
      </c>
      <c r="I190" t="str">
        <f t="shared" si="8"/>
        <v>ب 20. </v>
      </c>
    </row>
    <row r="191" spans="1:9" x14ac:dyDescent="0.2">
      <c r="A191" s="3" t="s">
        <v>122</v>
      </c>
      <c r="G191" t="str">
        <f t="shared" si="6"/>
        <v>ب 20. </v>
      </c>
      <c r="H191" t="e">
        <f t="shared" si="7"/>
        <v>#VALUE!</v>
      </c>
      <c r="I191">
        <f t="shared" si="8"/>
        <v>0</v>
      </c>
    </row>
    <row r="192" spans="1:9" x14ac:dyDescent="0.2">
      <c r="G192" t="str">
        <f t="shared" si="6"/>
        <v/>
      </c>
      <c r="H192" t="e">
        <f t="shared" si="7"/>
        <v>#VALUE!</v>
      </c>
      <c r="I192" t="str">
        <f t="shared" si="8"/>
        <v>00:18:14,938 --&gt; 00:18:29,048</v>
      </c>
    </row>
    <row r="193" spans="1:9" x14ac:dyDescent="0.2">
      <c r="A193" s="2" t="s">
        <v>123</v>
      </c>
      <c r="G193" t="str">
        <f t="shared" ref="G193:G256" si="9">LEFT(A193, 8)</f>
        <v>00:18:14</v>
      </c>
      <c r="H193" t="str">
        <f t="shared" ref="H193:H256" si="10">LEFT(TRIM(MID(A193, FIND("--&gt;", A193)+3, 20)), 8)</f>
        <v>00:18:29</v>
      </c>
      <c r="I193" t="str">
        <f t="shared" ref="I193:I256" si="11">A194</f>
        <v>كم. ممتاز. 40. طيب نبغى علاقة ثانية نربطها ببعض. لو فيه زاوية محيطية هنا. ركزوا معي على نفس القوس </v>
      </c>
    </row>
    <row r="194" spans="1:9" x14ac:dyDescent="0.2">
      <c r="A194" s="3" t="s">
        <v>124</v>
      </c>
      <c r="G194" t="str">
        <f t="shared" si="9"/>
        <v>كم. ممتا</v>
      </c>
      <c r="H194" t="e">
        <f t="shared" si="10"/>
        <v>#VALUE!</v>
      </c>
      <c r="I194">
        <f t="shared" si="11"/>
        <v>0</v>
      </c>
    </row>
    <row r="195" spans="1:9" x14ac:dyDescent="0.2">
      <c r="G195" t="str">
        <f t="shared" si="9"/>
        <v/>
      </c>
      <c r="H195" t="e">
        <f t="shared" si="10"/>
        <v>#VALUE!</v>
      </c>
      <c r="I195" t="str">
        <f t="shared" si="11"/>
        <v>00:18:29,048 --&gt; 00:18:34,547</v>
      </c>
    </row>
    <row r="196" spans="1:9" x14ac:dyDescent="0.2">
      <c r="A196" s="2" t="s">
        <v>125</v>
      </c>
      <c r="G196" t="str">
        <f t="shared" si="9"/>
        <v>00:18:29</v>
      </c>
      <c r="H196" t="str">
        <f t="shared" si="10"/>
        <v>00:18:34</v>
      </c>
      <c r="I196" t="str">
        <f t="shared" si="11"/>
        <v>كم بتكون لو قلنا هذي صاد كم صاد تساوي؟ </v>
      </c>
    </row>
    <row r="197" spans="1:9" x14ac:dyDescent="0.2">
      <c r="A197" s="3" t="s">
        <v>126</v>
      </c>
      <c r="G197" t="str">
        <f t="shared" si="9"/>
        <v>كم بتكون</v>
      </c>
      <c r="H197" t="e">
        <f t="shared" si="10"/>
        <v>#VALUE!</v>
      </c>
      <c r="I197">
        <f t="shared" si="11"/>
        <v>0</v>
      </c>
    </row>
    <row r="198" spans="1:9" x14ac:dyDescent="0.2">
      <c r="G198" t="str">
        <f t="shared" si="9"/>
        <v/>
      </c>
      <c r="H198" t="e">
        <f t="shared" si="10"/>
        <v>#VALUE!</v>
      </c>
      <c r="I198" t="str">
        <f t="shared" si="11"/>
        <v>00:18:34,548 --&gt; 00:18:38,188</v>
      </c>
    </row>
    <row r="199" spans="1:9" x14ac:dyDescent="0.2">
      <c r="A199" s="2" t="s">
        <v>127</v>
      </c>
      <c r="G199" t="str">
        <f t="shared" si="9"/>
        <v>00:18:34</v>
      </c>
      <c r="H199" t="str">
        <f t="shared" si="10"/>
        <v>00:18:38</v>
      </c>
      <c r="I199" t="str">
        <f t="shared" si="11"/>
        <v>يلا يا شباب. </v>
      </c>
    </row>
    <row r="200" spans="1:9" x14ac:dyDescent="0.2">
      <c r="A200" s="3" t="s">
        <v>128</v>
      </c>
      <c r="G200" t="str">
        <f t="shared" si="9"/>
        <v>يلا يا ش</v>
      </c>
      <c r="H200" t="e">
        <f t="shared" si="10"/>
        <v>#VALUE!</v>
      </c>
      <c r="I200">
        <f t="shared" si="11"/>
        <v>0</v>
      </c>
    </row>
    <row r="201" spans="1:9" x14ac:dyDescent="0.2">
      <c r="G201" t="str">
        <f t="shared" si="9"/>
        <v/>
      </c>
      <c r="H201" t="e">
        <f t="shared" si="10"/>
        <v>#VALUE!</v>
      </c>
      <c r="I201" t="str">
        <f t="shared" si="11"/>
        <v>00:18:38,188 --&gt; 00:18:59,768</v>
      </c>
    </row>
    <row r="202" spans="1:9" x14ac:dyDescent="0.2">
      <c r="A202" s="2" t="s">
        <v>129</v>
      </c>
      <c r="G202" t="str">
        <f t="shared" si="9"/>
        <v>00:18:38</v>
      </c>
      <c r="H202" t="str">
        <f t="shared" si="10"/>
        <v>00:18:59</v>
      </c>
      <c r="I202" t="str">
        <f t="shared" si="11"/>
        <v>زاوية محيطية على نفس القوس حقت الزاوية المماسية. قلنا الزاوية المماسية هي المماس مع وتر. ايضا هذي بتكون 40. يعني استنتجنا شي ان الزاوية المحيطية تساوي الزاوية المماسية اللي على نفس القوس. اذا اوضحها هنا بشكل اكثر. ها؟ لو عندي </v>
      </c>
    </row>
    <row r="203" spans="1:9" x14ac:dyDescent="0.2">
      <c r="A203" s="3" t="s">
        <v>130</v>
      </c>
      <c r="G203" t="str">
        <f t="shared" si="9"/>
        <v>زاوية مح</v>
      </c>
      <c r="H203" t="e">
        <f t="shared" si="10"/>
        <v>#VALUE!</v>
      </c>
      <c r="I203">
        <f t="shared" si="11"/>
        <v>0</v>
      </c>
    </row>
    <row r="204" spans="1:9" x14ac:dyDescent="0.2">
      <c r="G204" t="str">
        <f t="shared" si="9"/>
        <v/>
      </c>
      <c r="H204" t="e">
        <f t="shared" si="10"/>
        <v>#VALUE!</v>
      </c>
      <c r="I204" t="str">
        <f t="shared" si="11"/>
        <v>00:18:59,768 --&gt; 00:19:02,388</v>
      </c>
    </row>
    <row r="205" spans="1:9" x14ac:dyDescent="0.2">
      <c r="A205" s="2" t="s">
        <v>131</v>
      </c>
      <c r="G205" t="str">
        <f t="shared" si="9"/>
        <v>00:18:59</v>
      </c>
      <c r="H205" t="str">
        <f t="shared" si="10"/>
        <v>00:19:02</v>
      </c>
      <c r="I205" t="str">
        <f t="shared" si="11"/>
        <v>قوس. </v>
      </c>
    </row>
    <row r="206" spans="1:9" x14ac:dyDescent="0.2">
      <c r="A206" s="3" t="s">
        <v>132</v>
      </c>
      <c r="G206" t="str">
        <f t="shared" si="9"/>
        <v>قوس. </v>
      </c>
      <c r="H206" t="e">
        <f t="shared" si="10"/>
        <v>#VALUE!</v>
      </c>
      <c r="I206">
        <f t="shared" si="11"/>
        <v>0</v>
      </c>
    </row>
    <row r="207" spans="1:9" x14ac:dyDescent="0.2">
      <c r="G207" t="str">
        <f t="shared" si="9"/>
        <v/>
      </c>
      <c r="H207" t="e">
        <f t="shared" si="10"/>
        <v>#VALUE!</v>
      </c>
      <c r="I207" t="str">
        <f t="shared" si="11"/>
        <v>00:19:02,388 --&gt; 00:19:06,008</v>
      </c>
    </row>
    <row r="208" spans="1:9" x14ac:dyDescent="0.2">
      <c r="A208" s="2" t="s">
        <v>133</v>
      </c>
      <c r="G208" t="str">
        <f t="shared" si="9"/>
        <v>00:19:02</v>
      </c>
      <c r="H208" t="str">
        <f t="shared" si="10"/>
        <v>00:19:06</v>
      </c>
      <c r="I208" t="str">
        <f t="shared" si="11"/>
        <v>رسمت عليه زاوية مماسية </v>
      </c>
    </row>
    <row r="209" spans="1:9" x14ac:dyDescent="0.2">
      <c r="A209" s="3" t="s">
        <v>134</v>
      </c>
      <c r="G209" t="str">
        <f t="shared" si="9"/>
        <v>رسمت علي</v>
      </c>
      <c r="H209" t="e">
        <f t="shared" si="10"/>
        <v>#VALUE!</v>
      </c>
      <c r="I209">
        <f t="shared" si="11"/>
        <v>0</v>
      </c>
    </row>
    <row r="210" spans="1:9" x14ac:dyDescent="0.2">
      <c r="G210" t="str">
        <f t="shared" si="9"/>
        <v/>
      </c>
      <c r="H210" t="e">
        <f t="shared" si="10"/>
        <v>#VALUE!</v>
      </c>
      <c r="I210" t="str">
        <f t="shared" si="11"/>
        <v>00:19:06,008 --&gt; 00:19:08,348</v>
      </c>
    </row>
    <row r="211" spans="1:9" x14ac:dyDescent="0.2">
      <c r="A211" s="2" t="s">
        <v>135</v>
      </c>
      <c r="G211" t="str">
        <f t="shared" si="9"/>
        <v>00:19:06</v>
      </c>
      <c r="H211" t="str">
        <f t="shared" si="10"/>
        <v>00:19:08</v>
      </c>
      <c r="I211" t="str">
        <f t="shared" si="11"/>
        <v>ورسمت عليه </v>
      </c>
    </row>
    <row r="212" spans="1:9" x14ac:dyDescent="0.2">
      <c r="A212" s="3" t="s">
        <v>136</v>
      </c>
      <c r="G212" t="str">
        <f t="shared" si="9"/>
        <v>ورسمت عل</v>
      </c>
      <c r="H212" t="e">
        <f t="shared" si="10"/>
        <v>#VALUE!</v>
      </c>
      <c r="I212">
        <f t="shared" si="11"/>
        <v>0</v>
      </c>
    </row>
    <row r="213" spans="1:9" x14ac:dyDescent="0.2">
      <c r="G213" t="str">
        <f t="shared" si="9"/>
        <v/>
      </c>
      <c r="H213" t="e">
        <f t="shared" si="10"/>
        <v>#VALUE!</v>
      </c>
      <c r="I213" t="str">
        <f t="shared" si="11"/>
        <v>00:19:08,348 --&gt; 00:19:12,408</v>
      </c>
    </row>
    <row r="214" spans="1:9" x14ac:dyDescent="0.2">
      <c r="A214" s="2" t="s">
        <v>137</v>
      </c>
      <c r="G214" t="str">
        <f t="shared" si="9"/>
        <v>00:19:08</v>
      </c>
      <c r="H214" t="str">
        <f t="shared" si="10"/>
        <v>00:19:12</v>
      </c>
      <c r="I214" t="str">
        <f t="shared" si="11"/>
        <v>زاوية محيطية. </v>
      </c>
    </row>
    <row r="215" spans="1:9" x14ac:dyDescent="0.2">
      <c r="A215" s="3" t="s">
        <v>138</v>
      </c>
      <c r="G215" t="str">
        <f t="shared" si="9"/>
        <v>زاوية مح</v>
      </c>
      <c r="H215" t="e">
        <f t="shared" si="10"/>
        <v>#VALUE!</v>
      </c>
      <c r="I215">
        <f t="shared" si="11"/>
        <v>0</v>
      </c>
    </row>
    <row r="216" spans="1:9" x14ac:dyDescent="0.2">
      <c r="G216" t="str">
        <f t="shared" si="9"/>
        <v/>
      </c>
      <c r="H216" t="e">
        <f t="shared" si="10"/>
        <v>#VALUE!</v>
      </c>
      <c r="I216" t="str">
        <f t="shared" si="11"/>
        <v>00:19:12,408 --&gt; 00:19:32,068</v>
      </c>
    </row>
    <row r="217" spans="1:9" x14ac:dyDescent="0.2">
      <c r="A217" s="2" t="s">
        <v>139</v>
      </c>
      <c r="G217" t="str">
        <f t="shared" si="9"/>
        <v>00:19:12</v>
      </c>
      <c r="H217" t="str">
        <f t="shared" si="10"/>
        <v>00:19:32</v>
      </c>
      <c r="I217" t="str">
        <f t="shared" si="11"/>
        <v>هذي زاوية مماسية وهذي زاوية محيطية. الزاويتين متطابقتين. الزاوية المماسية والمحيطة اللي على نفس القوس متطابقتين. طيب كم قياسهم قياسهم نصف القوس. نصف القوس هذا اتمنى انه يكون واضح. </v>
      </c>
    </row>
    <row r="218" spans="1:9" x14ac:dyDescent="0.2">
      <c r="A218" s="3" t="s">
        <v>140</v>
      </c>
      <c r="G218" t="str">
        <f t="shared" si="9"/>
        <v>هذي زاوي</v>
      </c>
      <c r="H218" t="e">
        <f t="shared" si="10"/>
        <v>#VALUE!</v>
      </c>
      <c r="I218">
        <f t="shared" si="11"/>
        <v>0</v>
      </c>
    </row>
    <row r="219" spans="1:9" x14ac:dyDescent="0.2">
      <c r="G219" t="str">
        <f t="shared" si="9"/>
        <v/>
      </c>
      <c r="H219" t="e">
        <f t="shared" si="10"/>
        <v>#VALUE!</v>
      </c>
      <c r="I219" t="str">
        <f t="shared" si="11"/>
        <v>00:19:32,068 --&gt; 00:19:39,048</v>
      </c>
    </row>
    <row r="220" spans="1:9" x14ac:dyDescent="0.2">
      <c r="A220" s="2" t="s">
        <v>141</v>
      </c>
      <c r="G220" t="str">
        <f t="shared" si="9"/>
        <v>00:19:32</v>
      </c>
      <c r="H220" t="str">
        <f t="shared" si="10"/>
        <v>00:19:39</v>
      </c>
      <c r="I220" t="str">
        <f t="shared" si="11"/>
        <v>ما فهمت ايش قصدك الثالث يا فارس. </v>
      </c>
    </row>
    <row r="221" spans="1:9" x14ac:dyDescent="0.2">
      <c r="A221" s="3" t="s">
        <v>142</v>
      </c>
      <c r="G221" t="str">
        <f t="shared" si="9"/>
        <v xml:space="preserve">ما فهمت </v>
      </c>
      <c r="H221" t="e">
        <f t="shared" si="10"/>
        <v>#VALUE!</v>
      </c>
      <c r="I221">
        <f t="shared" si="11"/>
        <v>0</v>
      </c>
    </row>
    <row r="222" spans="1:9" x14ac:dyDescent="0.2">
      <c r="G222" t="str">
        <f t="shared" si="9"/>
        <v/>
      </c>
      <c r="H222" t="e">
        <f t="shared" si="10"/>
        <v>#VALUE!</v>
      </c>
      <c r="I222" t="str">
        <f t="shared" si="11"/>
        <v>00:19:39,048 --&gt; 00:19:44,088</v>
      </c>
    </row>
    <row r="223" spans="1:9" x14ac:dyDescent="0.2">
      <c r="A223" s="2" t="s">
        <v>143</v>
      </c>
      <c r="G223" t="str">
        <f t="shared" si="9"/>
        <v>00:19:39</v>
      </c>
      <c r="H223" t="str">
        <f t="shared" si="10"/>
        <v>00:19:44</v>
      </c>
      <c r="I223" t="str">
        <f t="shared" si="11"/>
        <v>يلا نروح نتحقق ونفهم. ما فهمت والله سؤالك يا فارس. </v>
      </c>
    </row>
    <row r="224" spans="1:9" x14ac:dyDescent="0.2">
      <c r="A224" s="3" t="s">
        <v>144</v>
      </c>
      <c r="G224" t="str">
        <f t="shared" si="9"/>
        <v>يلا نروح</v>
      </c>
      <c r="H224" t="e">
        <f t="shared" si="10"/>
        <v>#VALUE!</v>
      </c>
      <c r="I224">
        <f t="shared" si="11"/>
        <v>0</v>
      </c>
    </row>
    <row r="225" spans="1:9" x14ac:dyDescent="0.2">
      <c r="G225" t="str">
        <f t="shared" si="9"/>
        <v/>
      </c>
      <c r="H225" t="e">
        <f t="shared" si="10"/>
        <v>#VALUE!</v>
      </c>
      <c r="I225" t="str">
        <f t="shared" si="11"/>
        <v>00:19:44,088 --&gt; 00:19:47,788</v>
      </c>
    </row>
    <row r="226" spans="1:9" x14ac:dyDescent="0.2">
      <c r="A226" s="2" t="s">
        <v>145</v>
      </c>
      <c r="G226" t="str">
        <f t="shared" si="9"/>
        <v>00:19:44</v>
      </c>
      <c r="H226" t="str">
        <f t="shared" si="10"/>
        <v>00:19:47</v>
      </c>
      <c r="I226" t="str">
        <f t="shared" si="11"/>
        <v>يلا يا شباب. </v>
      </c>
    </row>
    <row r="227" spans="1:9" x14ac:dyDescent="0.2">
      <c r="A227" s="3" t="s">
        <v>128</v>
      </c>
      <c r="G227" t="str">
        <f t="shared" si="9"/>
        <v>يلا يا ش</v>
      </c>
      <c r="H227" t="e">
        <f t="shared" si="10"/>
        <v>#VALUE!</v>
      </c>
      <c r="I227">
        <f t="shared" si="11"/>
        <v>0</v>
      </c>
    </row>
    <row r="228" spans="1:9" x14ac:dyDescent="0.2">
      <c r="G228" t="str">
        <f t="shared" si="9"/>
        <v/>
      </c>
      <c r="H228" t="e">
        <f t="shared" si="10"/>
        <v>#VALUE!</v>
      </c>
      <c r="I228" t="str">
        <f t="shared" si="11"/>
        <v>00:19:47,788 --&gt; 00:19:52,008</v>
      </c>
    </row>
    <row r="229" spans="1:9" x14ac:dyDescent="0.2">
      <c r="A229" s="2" t="s">
        <v>146</v>
      </c>
      <c r="G229" t="str">
        <f t="shared" si="9"/>
        <v>00:19:47</v>
      </c>
      <c r="H229" t="str">
        <f t="shared" si="10"/>
        <v>00:19:52</v>
      </c>
      <c r="I229" t="str">
        <f t="shared" si="11"/>
        <v>هذا على الزاوية المحيطية على نصف قطر.</v>
      </c>
    </row>
    <row r="230" spans="1:9" x14ac:dyDescent="0.2">
      <c r="A230" s="3" t="s">
        <v>147</v>
      </c>
      <c r="G230" t="str">
        <f t="shared" si="9"/>
        <v xml:space="preserve">هذا على </v>
      </c>
      <c r="H230" t="e">
        <f t="shared" si="10"/>
        <v>#VALUE!</v>
      </c>
      <c r="I230">
        <f t="shared" si="11"/>
        <v>0</v>
      </c>
    </row>
    <row r="231" spans="1:9" x14ac:dyDescent="0.2">
      <c r="G231" t="str">
        <f t="shared" si="9"/>
        <v/>
      </c>
      <c r="H231" t="e">
        <f t="shared" si="10"/>
        <v>#VALUE!</v>
      </c>
      <c r="I231" t="str">
        <f t="shared" si="11"/>
        <v>00:19:54,588 --&gt; 00:20:20,108</v>
      </c>
    </row>
    <row r="232" spans="1:9" x14ac:dyDescent="0.2">
      <c r="A232" s="2" t="s">
        <v>148</v>
      </c>
      <c r="G232" t="str">
        <f t="shared" si="9"/>
        <v>00:19:54</v>
      </c>
      <c r="H232" t="str">
        <f t="shared" si="10"/>
        <v>00:20:20</v>
      </c>
      <c r="I232" t="str">
        <f t="shared" si="11"/>
        <v> يلا اللي حضروا معنا درس امس بيجاوبون هذا السؤال. مثلث فيثاغورس. </v>
      </c>
    </row>
    <row r="233" spans="1:9" x14ac:dyDescent="0.2">
      <c r="A233" s="3" t="s">
        <v>149</v>
      </c>
      <c r="G233" t="str">
        <f t="shared" si="9"/>
        <v> يلا الل</v>
      </c>
      <c r="H233" t="e">
        <f t="shared" si="10"/>
        <v>#VALUE!</v>
      </c>
      <c r="I233">
        <f t="shared" si="11"/>
        <v>0</v>
      </c>
    </row>
    <row r="234" spans="1:9" x14ac:dyDescent="0.2">
      <c r="G234" t="str">
        <f t="shared" si="9"/>
        <v/>
      </c>
      <c r="H234" t="e">
        <f t="shared" si="10"/>
        <v>#VALUE!</v>
      </c>
      <c r="I234" t="str">
        <f t="shared" si="11"/>
        <v>00:20:20,108 --&gt; 00:20:27,488</v>
      </c>
    </row>
    <row r="235" spans="1:9" x14ac:dyDescent="0.2">
      <c r="A235" s="2" t="s">
        <v>150</v>
      </c>
      <c r="G235" t="str">
        <f t="shared" si="9"/>
        <v>00:20:20</v>
      </c>
      <c r="H235" t="str">
        <f t="shared" si="10"/>
        <v>00:20:27</v>
      </c>
      <c r="I235" t="str">
        <f t="shared" si="11"/>
        <v>مثلث فيثاغورس.</v>
      </c>
    </row>
    <row r="236" spans="1:9" x14ac:dyDescent="0.2">
      <c r="A236" s="3" t="s">
        <v>151</v>
      </c>
      <c r="G236" t="str">
        <f t="shared" si="9"/>
        <v>مثلث فيث</v>
      </c>
      <c r="H236" t="e">
        <f t="shared" si="10"/>
        <v>#VALUE!</v>
      </c>
      <c r="I236">
        <f t="shared" si="11"/>
        <v>0</v>
      </c>
    </row>
    <row r="237" spans="1:9" x14ac:dyDescent="0.2">
      <c r="G237" t="str">
        <f t="shared" si="9"/>
        <v/>
      </c>
      <c r="H237" t="e">
        <f t="shared" si="10"/>
        <v>#VALUE!</v>
      </c>
      <c r="I237" t="str">
        <f t="shared" si="11"/>
        <v>00:20:31,928 --&gt; 00:20:36,568</v>
      </c>
    </row>
    <row r="238" spans="1:9" x14ac:dyDescent="0.2">
      <c r="A238" s="2" t="s">
        <v>152</v>
      </c>
      <c r="G238" t="str">
        <f t="shared" si="9"/>
        <v>00:20:31</v>
      </c>
      <c r="H238" t="str">
        <f t="shared" si="10"/>
        <v>00:20:36</v>
      </c>
      <c r="I238" t="str">
        <f t="shared" si="11"/>
        <v> مثلث فيثاغورس المشهور. </v>
      </c>
    </row>
    <row r="239" spans="1:9" x14ac:dyDescent="0.2">
      <c r="A239" s="3" t="s">
        <v>153</v>
      </c>
      <c r="G239" t="str">
        <f t="shared" si="9"/>
        <v> مثلث في</v>
      </c>
      <c r="H239" t="e">
        <f t="shared" si="10"/>
        <v>#VALUE!</v>
      </c>
      <c r="I239">
        <f t="shared" si="11"/>
        <v>0</v>
      </c>
    </row>
    <row r="240" spans="1:9" x14ac:dyDescent="0.2">
      <c r="G240" t="str">
        <f t="shared" si="9"/>
        <v/>
      </c>
      <c r="H240" t="e">
        <f t="shared" si="10"/>
        <v>#VALUE!</v>
      </c>
      <c r="I240" t="str">
        <f t="shared" si="11"/>
        <v>00:20:36,568 --&gt; 00:20:38,068</v>
      </c>
    </row>
    <row r="241" spans="1:9" x14ac:dyDescent="0.2">
      <c r="A241" s="2" t="s">
        <v>154</v>
      </c>
      <c r="G241" t="str">
        <f t="shared" si="9"/>
        <v>00:20:36</v>
      </c>
      <c r="H241" t="str">
        <f t="shared" si="10"/>
        <v>00:20:38</v>
      </c>
      <c r="I241" t="str">
        <f t="shared" si="11"/>
        <v>احد يطلب استايج يا شباب </v>
      </c>
    </row>
    <row r="242" spans="1:9" x14ac:dyDescent="0.2">
      <c r="A242" s="3" t="s">
        <v>155</v>
      </c>
      <c r="G242" t="str">
        <f t="shared" si="9"/>
        <v>احد يطلب</v>
      </c>
      <c r="H242" t="e">
        <f t="shared" si="10"/>
        <v>#VALUE!</v>
      </c>
      <c r="I242">
        <f t="shared" si="11"/>
        <v>0</v>
      </c>
    </row>
    <row r="243" spans="1:9" x14ac:dyDescent="0.2">
      <c r="G243" t="str">
        <f t="shared" si="9"/>
        <v/>
      </c>
      <c r="H243" t="e">
        <f t="shared" si="10"/>
        <v>#VALUE!</v>
      </c>
      <c r="I243" t="str">
        <f t="shared" si="11"/>
        <v>00:20:39,268 --&gt; 00:20:58,117</v>
      </c>
    </row>
    <row r="244" spans="1:9" x14ac:dyDescent="0.2">
      <c r="A244" s="2" t="s">
        <v>156</v>
      </c>
      <c r="G244" t="str">
        <f t="shared" si="9"/>
        <v>00:20:39</v>
      </c>
      <c r="H244" t="str">
        <f t="shared" si="10"/>
        <v>00:20:58</v>
      </c>
      <c r="I244" t="str">
        <f t="shared" si="11"/>
        <v>تطلب مايك. يعطيكم العافية. اشكركم. يلا نروح للسؤال. فارس طلع. يلا يا كرم. يلا يا كرم. اتفضل يا كرم سريعا. </v>
      </c>
    </row>
    <row r="245" spans="1:9" x14ac:dyDescent="0.2">
      <c r="A245" s="3" t="s">
        <v>157</v>
      </c>
      <c r="G245" t="str">
        <f t="shared" si="9"/>
        <v>تطلب ماي</v>
      </c>
      <c r="H245" t="e">
        <f t="shared" si="10"/>
        <v>#VALUE!</v>
      </c>
      <c r="I245">
        <f t="shared" si="11"/>
        <v>0</v>
      </c>
    </row>
    <row r="246" spans="1:9" x14ac:dyDescent="0.2">
      <c r="G246" t="str">
        <f t="shared" si="9"/>
        <v/>
      </c>
      <c r="H246" t="e">
        <f t="shared" si="10"/>
        <v>#VALUE!</v>
      </c>
      <c r="I246" t="str">
        <f t="shared" si="11"/>
        <v>00:20:58,117 --&gt; 00:20:59,348</v>
      </c>
    </row>
    <row r="247" spans="1:9" x14ac:dyDescent="0.2">
      <c r="A247" s="2" t="s">
        <v>158</v>
      </c>
      <c r="G247" t="str">
        <f t="shared" si="9"/>
        <v>00:20:58</v>
      </c>
      <c r="H247" t="str">
        <f t="shared" si="10"/>
        <v>00:20:59</v>
      </c>
      <c r="I247" t="str">
        <f t="shared" si="11"/>
        <v>السلام عليكم اساتذة. </v>
      </c>
    </row>
    <row r="248" spans="1:9" x14ac:dyDescent="0.2">
      <c r="A248" s="3" t="s">
        <v>159</v>
      </c>
      <c r="G248" t="str">
        <f t="shared" si="9"/>
        <v>السلام ع</v>
      </c>
      <c r="H248" t="e">
        <f t="shared" si="10"/>
        <v>#VALUE!</v>
      </c>
      <c r="I248">
        <f t="shared" si="11"/>
        <v>0</v>
      </c>
    </row>
    <row r="249" spans="1:9" x14ac:dyDescent="0.2">
      <c r="G249" t="str">
        <f t="shared" si="9"/>
        <v/>
      </c>
      <c r="H249" t="e">
        <f t="shared" si="10"/>
        <v>#VALUE!</v>
      </c>
      <c r="I249" t="str">
        <f t="shared" si="11"/>
        <v>00:20:59,348 --&gt; 00:21:01,748</v>
      </c>
    </row>
    <row r="250" spans="1:9" x14ac:dyDescent="0.2">
      <c r="A250" s="2" t="s">
        <v>160</v>
      </c>
      <c r="G250" t="str">
        <f t="shared" si="9"/>
        <v>00:20:59</v>
      </c>
      <c r="H250" t="str">
        <f t="shared" si="10"/>
        <v>00:21:01</v>
      </c>
      <c r="I250" t="str">
        <f t="shared" si="11"/>
        <v>عليكم السلام. حياك الله يا كرم. اتفضل. </v>
      </c>
    </row>
    <row r="251" spans="1:9" x14ac:dyDescent="0.2">
      <c r="A251" s="3" t="s">
        <v>161</v>
      </c>
      <c r="G251" t="str">
        <f t="shared" si="9"/>
        <v>عليكم ال</v>
      </c>
      <c r="H251" t="e">
        <f t="shared" si="10"/>
        <v>#VALUE!</v>
      </c>
      <c r="I251">
        <f t="shared" si="11"/>
        <v>0</v>
      </c>
    </row>
    <row r="252" spans="1:9" x14ac:dyDescent="0.2">
      <c r="G252" t="str">
        <f t="shared" si="9"/>
        <v/>
      </c>
      <c r="H252" t="e">
        <f t="shared" si="10"/>
        <v>#VALUE!</v>
      </c>
      <c r="I252" t="str">
        <f t="shared" si="11"/>
        <v>00:21:01,748 --&gt; 00:21:06,568</v>
      </c>
    </row>
    <row r="253" spans="1:9" x14ac:dyDescent="0.2">
      <c r="A253" s="2" t="s">
        <v>162</v>
      </c>
      <c r="G253" t="str">
        <f t="shared" si="9"/>
        <v>00:21:01</v>
      </c>
      <c r="H253" t="str">
        <f t="shared" si="10"/>
        <v>00:21:06</v>
      </c>
      <c r="I253" t="str">
        <f t="shared" si="11"/>
        <v>المثلث الفيثاغورس يكون خمسة ثلاثة اربعة. </v>
      </c>
    </row>
    <row r="254" spans="1:9" x14ac:dyDescent="0.2">
      <c r="A254" s="3" t="s">
        <v>163</v>
      </c>
      <c r="G254" t="str">
        <f t="shared" si="9"/>
        <v>المثلث ا</v>
      </c>
      <c r="H254" t="e">
        <f t="shared" si="10"/>
        <v>#VALUE!</v>
      </c>
      <c r="I254">
        <f t="shared" si="11"/>
        <v>0</v>
      </c>
    </row>
    <row r="255" spans="1:9" x14ac:dyDescent="0.2">
      <c r="G255" t="str">
        <f t="shared" si="9"/>
        <v/>
      </c>
      <c r="H255" t="e">
        <f t="shared" si="10"/>
        <v>#VALUE!</v>
      </c>
      <c r="I255" t="str">
        <f t="shared" si="11"/>
        <v>00:21:06,568 --&gt; 00:21:17,388</v>
      </c>
    </row>
    <row r="256" spans="1:9" x14ac:dyDescent="0.2">
      <c r="A256" s="2" t="s">
        <v>164</v>
      </c>
      <c r="G256" t="str">
        <f t="shared" si="9"/>
        <v>00:21:06</v>
      </c>
      <c r="H256" t="str">
        <f t="shared" si="10"/>
        <v>00:21:17</v>
      </c>
      <c r="I256" t="str">
        <f t="shared" si="11"/>
        <v>طيب ليه اوقف عطني مبرر ليه استخدمت فيثاغورس؟ هل المثلث قائم الزاوية؟ هل على قال ان المثلث قائم الزاوية؟ ايش قال هو؟ </v>
      </c>
    </row>
    <row r="257" spans="1:9" x14ac:dyDescent="0.2">
      <c r="A257" s="3" t="s">
        <v>165</v>
      </c>
      <c r="G257" t="str">
        <f t="shared" ref="G257:G320" si="12">LEFT(A257, 8)</f>
        <v xml:space="preserve">طيب ليه </v>
      </c>
      <c r="H257" t="e">
        <f t="shared" ref="H257:H320" si="13">LEFT(TRIM(MID(A257, FIND("--&gt;", A257)+3, 20)), 8)</f>
        <v>#VALUE!</v>
      </c>
      <c r="I257">
        <f t="shared" ref="I257:I320" si="14">A258</f>
        <v>0</v>
      </c>
    </row>
    <row r="258" spans="1:9" x14ac:dyDescent="0.2">
      <c r="G258" t="str">
        <f t="shared" si="12"/>
        <v/>
      </c>
      <c r="H258" t="e">
        <f t="shared" si="13"/>
        <v>#VALUE!</v>
      </c>
      <c r="I258" t="str">
        <f t="shared" si="14"/>
        <v>00:21:17,388 --&gt; 00:21:20,928</v>
      </c>
    </row>
    <row r="259" spans="1:9" x14ac:dyDescent="0.2">
      <c r="A259" s="2" t="s">
        <v>166</v>
      </c>
      <c r="G259" t="str">
        <f t="shared" si="12"/>
        <v>00:21:17</v>
      </c>
      <c r="H259" t="str">
        <f t="shared" si="13"/>
        <v>00:21:20</v>
      </c>
      <c r="I259" t="str">
        <f t="shared" si="14"/>
        <v>هذا نصف قطر الدائرة. </v>
      </c>
    </row>
    <row r="260" spans="1:9" x14ac:dyDescent="0.2">
      <c r="A260" s="3" t="s">
        <v>167</v>
      </c>
      <c r="G260" t="str">
        <f t="shared" si="12"/>
        <v xml:space="preserve">هذا نصف </v>
      </c>
      <c r="H260" t="e">
        <f t="shared" si="13"/>
        <v>#VALUE!</v>
      </c>
      <c r="I260">
        <f t="shared" si="14"/>
        <v>0</v>
      </c>
    </row>
    <row r="261" spans="1:9" x14ac:dyDescent="0.2">
      <c r="G261" t="str">
        <f t="shared" si="12"/>
        <v/>
      </c>
      <c r="H261" t="e">
        <f t="shared" si="13"/>
        <v>#VALUE!</v>
      </c>
      <c r="I261" t="str">
        <f t="shared" si="14"/>
        <v>00:21:20,928 --&gt; 00:21:32,148</v>
      </c>
    </row>
    <row r="262" spans="1:9" x14ac:dyDescent="0.2">
      <c r="A262" s="2" t="s">
        <v>168</v>
      </c>
      <c r="G262" t="str">
        <f t="shared" si="12"/>
        <v>00:21:20</v>
      </c>
      <c r="H262" t="str">
        <f t="shared" si="13"/>
        <v>00:21:32</v>
      </c>
      <c r="I262" t="str">
        <f t="shared" si="14"/>
        <v>ممتاز انا عندي زاوية محيطية صح؟ على النصف. على. على قطر الدائرة او ممتاز على قطر الدائرة او على نصف الدائرة. اذا المثلث هذا قائم. </v>
      </c>
    </row>
    <row r="263" spans="1:9" x14ac:dyDescent="0.2">
      <c r="A263" s="3" t="s">
        <v>169</v>
      </c>
      <c r="G263" t="str">
        <f t="shared" si="12"/>
        <v>ممتاز ان</v>
      </c>
      <c r="H263" t="e">
        <f t="shared" si="13"/>
        <v>#VALUE!</v>
      </c>
      <c r="I263">
        <f t="shared" si="14"/>
        <v>0</v>
      </c>
    </row>
    <row r="264" spans="1:9" x14ac:dyDescent="0.2">
      <c r="G264" t="str">
        <f t="shared" si="12"/>
        <v/>
      </c>
      <c r="H264" t="e">
        <f t="shared" si="13"/>
        <v>#VALUE!</v>
      </c>
      <c r="I264" t="str">
        <f t="shared" si="14"/>
        <v>00:21:32,148 --&gt; 00:21:32,608</v>
      </c>
    </row>
    <row r="265" spans="1:9" x14ac:dyDescent="0.2">
      <c r="A265" s="2" t="s">
        <v>170</v>
      </c>
      <c r="G265" t="str">
        <f t="shared" si="12"/>
        <v>00:21:32</v>
      </c>
      <c r="H265" t="str">
        <f t="shared" si="13"/>
        <v>00:21:32</v>
      </c>
      <c r="I265" t="str">
        <f t="shared" si="14"/>
        <v>قائم </v>
      </c>
    </row>
    <row r="266" spans="1:9" x14ac:dyDescent="0.2">
      <c r="A266" s="3" t="s">
        <v>171</v>
      </c>
      <c r="G266" t="str">
        <f t="shared" si="12"/>
        <v>قائم </v>
      </c>
      <c r="H266" t="e">
        <f t="shared" si="13"/>
        <v>#VALUE!</v>
      </c>
      <c r="I266">
        <f t="shared" si="14"/>
        <v>0</v>
      </c>
    </row>
    <row r="267" spans="1:9" x14ac:dyDescent="0.2">
      <c r="G267" t="str">
        <f t="shared" si="12"/>
        <v/>
      </c>
      <c r="H267" t="e">
        <f t="shared" si="13"/>
        <v>#VALUE!</v>
      </c>
      <c r="I267" t="str">
        <f t="shared" si="14"/>
        <v>00:21:32,608 --&gt; 00:21:40,688</v>
      </c>
    </row>
    <row r="268" spans="1:9" x14ac:dyDescent="0.2">
      <c r="A268" s="2" t="s">
        <v>172</v>
      </c>
      <c r="G268" t="str">
        <f t="shared" si="12"/>
        <v>00:21:32</v>
      </c>
      <c r="H268" t="str">
        <f t="shared" si="13"/>
        <v>00:21:40</v>
      </c>
      <c r="I268" t="str">
        <f t="shared" si="14"/>
        <v>الزاوية ممتاز. عندي هذي الضلعين القائمين كاني ابغى اجيب الوتر صح ولا لا؟ ايوه كم </v>
      </c>
    </row>
    <row r="269" spans="1:9" x14ac:dyDescent="0.2">
      <c r="A269" s="3" t="s">
        <v>173</v>
      </c>
      <c r="G269" t="str">
        <f t="shared" si="12"/>
        <v xml:space="preserve">الزاوية </v>
      </c>
      <c r="H269" t="e">
        <f t="shared" si="13"/>
        <v>#VALUE!</v>
      </c>
      <c r="I269">
        <f t="shared" si="14"/>
        <v>0</v>
      </c>
    </row>
    <row r="270" spans="1:9" x14ac:dyDescent="0.2">
      <c r="G270" t="str">
        <f t="shared" si="12"/>
        <v/>
      </c>
      <c r="H270" t="e">
        <f t="shared" si="13"/>
        <v>#VALUE!</v>
      </c>
      <c r="I270" t="str">
        <f t="shared" si="14"/>
        <v>00:21:40,688 --&gt; 00:21:44,308</v>
      </c>
    </row>
    <row r="271" spans="1:9" x14ac:dyDescent="0.2">
      <c r="A271" s="2" t="s">
        <v>174</v>
      </c>
      <c r="G271" t="str">
        <f t="shared" si="12"/>
        <v>00:21:40</v>
      </c>
      <c r="H271" t="str">
        <f t="shared" si="13"/>
        <v>00:21:44</v>
      </c>
      <c r="I271" t="str">
        <f t="shared" si="14"/>
        <v>يساوي. </v>
      </c>
    </row>
    <row r="272" spans="1:9" x14ac:dyDescent="0.2">
      <c r="A272" s="3" t="s">
        <v>175</v>
      </c>
      <c r="G272" t="str">
        <f t="shared" si="12"/>
        <v>يساوي. </v>
      </c>
      <c r="H272" t="e">
        <f t="shared" si="13"/>
        <v>#VALUE!</v>
      </c>
      <c r="I272">
        <f t="shared" si="14"/>
        <v>0</v>
      </c>
    </row>
    <row r="273" spans="1:9" x14ac:dyDescent="0.2">
      <c r="G273" t="str">
        <f t="shared" si="12"/>
        <v/>
      </c>
      <c r="H273" t="e">
        <f t="shared" si="13"/>
        <v>#VALUE!</v>
      </c>
      <c r="I273" t="str">
        <f t="shared" si="14"/>
        <v>00:21:44,308 --&gt; 00:22:29,388</v>
      </c>
    </row>
    <row r="274" spans="1:9" x14ac:dyDescent="0.2">
      <c r="A274" s="2" t="s">
        <v>176</v>
      </c>
      <c r="G274" t="str">
        <f t="shared" si="12"/>
        <v>00:21:44</v>
      </c>
      <c r="H274" t="str">
        <f t="shared" si="13"/>
        <v>00:22:29</v>
      </c>
      <c r="I274" t="str">
        <f t="shared" si="14"/>
        <v>ممتاز. يساوي الجذر التربيعي الستة وثلاثين زائد اربعة وستين اللي هو اربع الضلعين هذه واجمعهم تحت الجذر يساوي جذر مئة يساوي عشرة. طيب استاذ لازم استخدم فيثاغورس اذا ما تعرف المثلثات الخاصة او المشهورة. هذا المثلث اللي تعرفونه. ثلاثة. اربعة. خمسة. صح. صح. ايوه. جميل. ثلاثة. اربعة. خمسة. طيب لو خل هذا ستة. وهذا ثمانية. اذا هذا عشرة. وهكذا. لو خل هذا مثلا تسعة. وهذا 12. اذا هذا بكون خمسطعش. هذا المثلث المشهور. طيب انا ايش جبت الحين يا كرم. الالف باء صح. </v>
      </c>
    </row>
    <row r="275" spans="1:9" x14ac:dyDescent="0.2">
      <c r="A275" s="3" t="s">
        <v>177</v>
      </c>
      <c r="G275" t="str">
        <f t="shared" si="12"/>
        <v>ممتاز. ي</v>
      </c>
      <c r="H275" t="e">
        <f t="shared" si="13"/>
        <v>#VALUE!</v>
      </c>
      <c r="I275">
        <f t="shared" si="14"/>
        <v>0</v>
      </c>
    </row>
    <row r="276" spans="1:9" x14ac:dyDescent="0.2">
      <c r="G276" t="str">
        <f t="shared" si="12"/>
        <v/>
      </c>
      <c r="H276" t="e">
        <f t="shared" si="13"/>
        <v>#VALUE!</v>
      </c>
      <c r="I276" t="str">
        <f t="shared" si="14"/>
        <v>00:22:29,388 --&gt; 00:22:31,867</v>
      </c>
    </row>
    <row r="277" spans="1:9" x14ac:dyDescent="0.2">
      <c r="A277" s="2" t="s">
        <v>178</v>
      </c>
      <c r="G277" t="str">
        <f t="shared" si="12"/>
        <v>00:22:29</v>
      </c>
      <c r="H277" t="str">
        <f t="shared" si="13"/>
        <v>00:22:31</v>
      </c>
      <c r="I277" t="str">
        <f t="shared" si="14"/>
        <v>طول الوتر عشرة اللي هو الف باء </v>
      </c>
    </row>
    <row r="278" spans="1:9" x14ac:dyDescent="0.2">
      <c r="A278" s="3" t="s">
        <v>179</v>
      </c>
      <c r="G278" t="str">
        <f t="shared" si="12"/>
        <v>طول الوت</v>
      </c>
      <c r="H278" t="e">
        <f t="shared" si="13"/>
        <v>#VALUE!</v>
      </c>
      <c r="I278">
        <f t="shared" si="14"/>
        <v>0</v>
      </c>
    </row>
    <row r="279" spans="1:9" x14ac:dyDescent="0.2">
      <c r="G279" t="str">
        <f t="shared" si="12"/>
        <v/>
      </c>
      <c r="H279" t="e">
        <f t="shared" si="13"/>
        <v>#VALUE!</v>
      </c>
      <c r="I279" t="str">
        <f t="shared" si="14"/>
        <v>00:22:31,867 --&gt; 00:22:38,808</v>
      </c>
    </row>
    <row r="280" spans="1:9" x14ac:dyDescent="0.2">
      <c r="A280" s="2" t="s">
        <v>180</v>
      </c>
      <c r="G280" t="str">
        <f t="shared" si="12"/>
        <v>00:22:31</v>
      </c>
      <c r="H280" t="str">
        <f t="shared" si="13"/>
        <v>00:22:38</v>
      </c>
      <c r="I280" t="str">
        <f t="shared" si="14"/>
        <v>مش الوتر ايش اسمه القطر صح؟ قطر بس ايش يبغاه؟ ايش يبغى؟ ايش يبغى؟ </v>
      </c>
    </row>
    <row r="281" spans="1:9" x14ac:dyDescent="0.2">
      <c r="A281" s="3" t="s">
        <v>181</v>
      </c>
      <c r="G281" t="str">
        <f t="shared" si="12"/>
        <v>مش الوتر</v>
      </c>
      <c r="H281" t="e">
        <f t="shared" si="13"/>
        <v>#VALUE!</v>
      </c>
      <c r="I281">
        <f t="shared" si="14"/>
        <v>0</v>
      </c>
    </row>
    <row r="282" spans="1:9" x14ac:dyDescent="0.2">
      <c r="G282" t="str">
        <f t="shared" si="12"/>
        <v/>
      </c>
      <c r="H282" t="e">
        <f t="shared" si="13"/>
        <v>#VALUE!</v>
      </c>
      <c r="I282" t="str">
        <f t="shared" si="14"/>
        <v>00:22:38,808 --&gt; 00:22:40,068</v>
      </c>
    </row>
    <row r="283" spans="1:9" x14ac:dyDescent="0.2">
      <c r="A283" s="2" t="s">
        <v>182</v>
      </c>
      <c r="G283" t="str">
        <f t="shared" si="12"/>
        <v>00:22:38</v>
      </c>
      <c r="H283" t="str">
        <f t="shared" si="13"/>
        <v>00:22:40</v>
      </c>
      <c r="I283" t="str">
        <f t="shared" si="14"/>
        <v>نصف القطر. </v>
      </c>
    </row>
    <row r="284" spans="1:9" x14ac:dyDescent="0.2">
      <c r="A284" s="3" t="s">
        <v>183</v>
      </c>
      <c r="G284" t="str">
        <f t="shared" si="12"/>
        <v>نصف القط</v>
      </c>
      <c r="H284" t="e">
        <f t="shared" si="13"/>
        <v>#VALUE!</v>
      </c>
      <c r="I284">
        <f t="shared" si="14"/>
        <v>0</v>
      </c>
    </row>
    <row r="285" spans="1:9" x14ac:dyDescent="0.2">
      <c r="G285" t="str">
        <f t="shared" si="12"/>
        <v/>
      </c>
      <c r="H285" t="e">
        <f t="shared" si="13"/>
        <v>#VALUE!</v>
      </c>
      <c r="I285" t="str">
        <f t="shared" si="14"/>
        <v>00:22:40,068 --&gt; 00:22:52,748</v>
      </c>
    </row>
    <row r="286" spans="1:9" x14ac:dyDescent="0.2">
      <c r="A286" s="2" t="s">
        <v>184</v>
      </c>
      <c r="G286" t="str">
        <f t="shared" si="12"/>
        <v>00:22:40</v>
      </c>
      <c r="H286" t="str">
        <f t="shared" si="13"/>
        <v>00:22:52</v>
      </c>
      <c r="I286" t="str">
        <f t="shared" si="14"/>
        <v>نصف القطر. اذا اقسم العشرة على اثنين. اذا النق يساوي خمسة. اجابة صحيحة وكافية وشافية ووافية. بيض الله وجهك. الله يعطيك العافية يا كرم. شكرا لك. يلا نروح للي بعده. يا شباب.</v>
      </c>
    </row>
    <row r="287" spans="1:9" x14ac:dyDescent="0.2">
      <c r="A287" s="3" t="s">
        <v>185</v>
      </c>
      <c r="G287" t="str">
        <f t="shared" si="12"/>
        <v>نصف القط</v>
      </c>
      <c r="H287" t="e">
        <f t="shared" si="13"/>
        <v>#VALUE!</v>
      </c>
      <c r="I287">
        <f t="shared" si="14"/>
        <v>0</v>
      </c>
    </row>
    <row r="288" spans="1:9" x14ac:dyDescent="0.2">
      <c r="G288" t="str">
        <f t="shared" si="12"/>
        <v/>
      </c>
      <c r="H288" t="e">
        <f t="shared" si="13"/>
        <v>#VALUE!</v>
      </c>
      <c r="I288" t="str">
        <f t="shared" si="14"/>
        <v>00:22:55,688 --&gt; 00:23:23,028</v>
      </c>
    </row>
    <row r="289" spans="1:9" x14ac:dyDescent="0.2">
      <c r="A289" s="2" t="s">
        <v>186</v>
      </c>
      <c r="G289" t="str">
        <f t="shared" si="12"/>
        <v>00:22:55</v>
      </c>
      <c r="H289" t="str">
        <f t="shared" si="13"/>
        <v>00:23:23</v>
      </c>
      <c r="I289" t="str">
        <f t="shared" si="14"/>
        <v> انتبهوا معي. مساحة الدائرة طاء نق تربيع. تضرب نصف القطر تربيع في طاء. او احيانا الطاء قد يكون ثلاثة فاصلة اربعة عشر. والمحيط هو القطر او نصف القطر في اثنين ونضربها في طاء. سهلة ان شاء الله. نبدأ. السؤال. يلا. </v>
      </c>
    </row>
    <row r="290" spans="1:9" x14ac:dyDescent="0.2">
      <c r="A290" s="3" t="s">
        <v>187</v>
      </c>
      <c r="G290" t="str">
        <f t="shared" si="12"/>
        <v> انتبهوا</v>
      </c>
      <c r="H290" t="e">
        <f t="shared" si="13"/>
        <v>#VALUE!</v>
      </c>
      <c r="I290">
        <f t="shared" si="14"/>
        <v>0</v>
      </c>
    </row>
    <row r="291" spans="1:9" x14ac:dyDescent="0.2">
      <c r="G291" t="str">
        <f t="shared" si="12"/>
        <v/>
      </c>
      <c r="H291" t="e">
        <f t="shared" si="13"/>
        <v>#VALUE!</v>
      </c>
      <c r="I291" t="str">
        <f t="shared" si="14"/>
        <v>00:23:27,308 --&gt; 00:23:41,728</v>
      </c>
    </row>
    <row r="292" spans="1:9" x14ac:dyDescent="0.2">
      <c r="A292" s="2" t="s">
        <v>188</v>
      </c>
      <c r="G292" t="str">
        <f t="shared" si="12"/>
        <v>00:23:27</v>
      </c>
      <c r="H292" t="str">
        <f t="shared" si="13"/>
        <v>00:23:41</v>
      </c>
      <c r="I292" t="str">
        <f t="shared" si="14"/>
        <v>ركزوا يا شباب. الجزء المظلل كم نسبته من الدائرة؟ تجيب مساحة الدائرة. وبعدين تشوف الجزء المظلل كم نسبته من الدائرة؟ هل هو الربع؟ الثلث. النص. ثلثين. يعني </v>
      </c>
    </row>
    <row r="293" spans="1:9" x14ac:dyDescent="0.2">
      <c r="A293" s="3" t="s">
        <v>189</v>
      </c>
      <c r="G293" t="str">
        <f t="shared" si="12"/>
        <v>ركزوا يا</v>
      </c>
      <c r="H293" t="e">
        <f t="shared" si="13"/>
        <v>#VALUE!</v>
      </c>
      <c r="I293">
        <f t="shared" si="14"/>
        <v>0</v>
      </c>
    </row>
    <row r="294" spans="1:9" x14ac:dyDescent="0.2">
      <c r="G294" t="str">
        <f t="shared" si="12"/>
        <v/>
      </c>
      <c r="H294" t="e">
        <f t="shared" si="13"/>
        <v>#VALUE!</v>
      </c>
      <c r="I294" t="str">
        <f t="shared" si="14"/>
        <v>00:23:41,728 --&gt; 00:23:54,368</v>
      </c>
    </row>
    <row r="295" spans="1:9" x14ac:dyDescent="0.2">
      <c r="A295" s="2" t="s">
        <v>190</v>
      </c>
      <c r="G295" t="str">
        <f t="shared" si="12"/>
        <v>00:23:41</v>
      </c>
      <c r="H295" t="str">
        <f t="shared" si="13"/>
        <v>00:23:54</v>
      </c>
      <c r="I295" t="str">
        <f t="shared" si="14"/>
        <v>اول شي لازم تحدد نسبة الجزء المظلل. قد يكون ربع. قد يكون نص. قد يكون خمس. قد يكون سدس. قد يكون ثلثين. وهكذا. </v>
      </c>
    </row>
    <row r="296" spans="1:9" x14ac:dyDescent="0.2">
      <c r="A296" s="3" t="s">
        <v>191</v>
      </c>
      <c r="G296" t="str">
        <f t="shared" si="12"/>
        <v>اول شي ل</v>
      </c>
      <c r="H296" t="e">
        <f t="shared" si="13"/>
        <v>#VALUE!</v>
      </c>
      <c r="I296">
        <f t="shared" si="14"/>
        <v>0</v>
      </c>
    </row>
    <row r="297" spans="1:9" x14ac:dyDescent="0.2">
      <c r="G297" t="str">
        <f t="shared" si="12"/>
        <v/>
      </c>
      <c r="H297" t="e">
        <f t="shared" si="13"/>
        <v>#VALUE!</v>
      </c>
      <c r="I297" t="str">
        <f t="shared" si="14"/>
        <v>00:23:54,368 --&gt; 00:24:14,928</v>
      </c>
    </row>
    <row r="298" spans="1:9" x14ac:dyDescent="0.2">
      <c r="A298" s="2" t="s">
        <v>192</v>
      </c>
      <c r="G298" t="str">
        <f t="shared" si="12"/>
        <v>00:23:54</v>
      </c>
      <c r="H298" t="str">
        <f t="shared" si="13"/>
        <v>00:24:14</v>
      </c>
      <c r="I298" t="str">
        <f t="shared" si="14"/>
        <v>يلا ما نقطع الشاش.</v>
      </c>
    </row>
    <row r="299" spans="1:9" x14ac:dyDescent="0.2">
      <c r="A299" s="3" t="s">
        <v>193</v>
      </c>
      <c r="G299" t="str">
        <f t="shared" si="12"/>
        <v>يلا ما ن</v>
      </c>
      <c r="H299" t="e">
        <f t="shared" si="13"/>
        <v>#VALUE!</v>
      </c>
      <c r="I299">
        <f t="shared" si="14"/>
        <v>0</v>
      </c>
    </row>
    <row r="300" spans="1:9" x14ac:dyDescent="0.2">
      <c r="G300" t="str">
        <f t="shared" si="12"/>
        <v/>
      </c>
      <c r="H300" t="e">
        <f t="shared" si="13"/>
        <v>#VALUE!</v>
      </c>
      <c r="I300" t="str">
        <f t="shared" si="14"/>
        <v>00:24:17,952 --&gt; 00:24:18,182</v>
      </c>
    </row>
    <row r="301" spans="1:9" x14ac:dyDescent="0.2">
      <c r="A301" s="2" t="s">
        <v>194</v>
      </c>
      <c r="G301" t="str">
        <f t="shared" si="12"/>
        <v>00:24:17</v>
      </c>
      <c r="H301" t="str">
        <f t="shared" si="13"/>
        <v>00:24:18</v>
      </c>
      <c r="I301" t="str">
        <f t="shared" si="14"/>
        <v>[صوت موسيقى] </v>
      </c>
    </row>
    <row r="302" spans="1:9" x14ac:dyDescent="0.2">
      <c r="A302" s="3" t="s">
        <v>195</v>
      </c>
      <c r="G302" t="str">
        <f t="shared" si="12"/>
        <v>[صوت موس</v>
      </c>
      <c r="H302" t="e">
        <f t="shared" si="13"/>
        <v>#VALUE!</v>
      </c>
      <c r="I302">
        <f t="shared" si="14"/>
        <v>0</v>
      </c>
    </row>
    <row r="303" spans="1:9" x14ac:dyDescent="0.2">
      <c r="G303" t="str">
        <f t="shared" si="12"/>
        <v/>
      </c>
      <c r="H303" t="e">
        <f t="shared" si="13"/>
        <v>#VALUE!</v>
      </c>
      <c r="I303" t="str">
        <f t="shared" si="14"/>
        <v>00:24:18,182 --&gt; 00:24:30,232</v>
      </c>
    </row>
    <row r="304" spans="1:9" x14ac:dyDescent="0.2">
      <c r="A304" s="2" t="s">
        <v>196</v>
      </c>
      <c r="G304" t="str">
        <f t="shared" si="12"/>
        <v>00:24:18</v>
      </c>
      <c r="H304" t="str">
        <f t="shared" si="13"/>
        <v>00:24:30</v>
      </c>
      <c r="I304" t="str">
        <f t="shared" si="14"/>
        <v>سريعا احد بيطلب ماي. معنا اول واحد طلب فارس. ليس فارس. خالد يا خالد. يلا يا خالد. مع </v>
      </c>
    </row>
    <row r="305" spans="1:9" x14ac:dyDescent="0.2">
      <c r="A305" s="3" t="s">
        <v>197</v>
      </c>
      <c r="G305" t="str">
        <f t="shared" si="12"/>
        <v>سريعا اح</v>
      </c>
      <c r="H305" t="e">
        <f t="shared" si="13"/>
        <v>#VALUE!</v>
      </c>
      <c r="I305">
        <f t="shared" si="14"/>
        <v>0</v>
      </c>
    </row>
    <row r="306" spans="1:9" x14ac:dyDescent="0.2">
      <c r="G306" t="str">
        <f t="shared" si="12"/>
        <v/>
      </c>
      <c r="H306" t="e">
        <f t="shared" si="13"/>
        <v>#VALUE!</v>
      </c>
      <c r="I306" t="str">
        <f t="shared" si="14"/>
        <v>00:24:30,232 --&gt; 00:24:40,572</v>
      </c>
    </row>
    <row r="307" spans="1:9" x14ac:dyDescent="0.2">
      <c r="A307" s="2" t="s">
        <v>198</v>
      </c>
      <c r="G307" t="str">
        <f t="shared" si="12"/>
        <v>00:24:30</v>
      </c>
      <c r="H307" t="str">
        <f t="shared" si="13"/>
        <v>00:24:40</v>
      </c>
      <c r="I307" t="str">
        <f t="shared" si="14"/>
        <v>ان اتوقع اجابتك هاته يا خالد. تسمعني يا خالد. بس افتح المايك. يلا يا خالد. </v>
      </c>
    </row>
    <row r="308" spans="1:9" x14ac:dyDescent="0.2">
      <c r="A308" s="3" t="s">
        <v>199</v>
      </c>
      <c r="G308" t="str">
        <f t="shared" si="12"/>
        <v>ان اتوقع</v>
      </c>
      <c r="H308" t="e">
        <f t="shared" si="13"/>
        <v>#VALUE!</v>
      </c>
      <c r="I308">
        <f t="shared" si="14"/>
        <v>0</v>
      </c>
    </row>
    <row r="309" spans="1:9" x14ac:dyDescent="0.2">
      <c r="G309" t="str">
        <f t="shared" si="12"/>
        <v/>
      </c>
      <c r="H309" t="e">
        <f t="shared" si="13"/>
        <v>#VALUE!</v>
      </c>
      <c r="I309" t="str">
        <f t="shared" si="14"/>
        <v>00:24:40,572 --&gt; 00:24:44,552</v>
      </c>
    </row>
    <row r="310" spans="1:9" x14ac:dyDescent="0.2">
      <c r="A310" s="2" t="s">
        <v>200</v>
      </c>
      <c r="G310" t="str">
        <f t="shared" si="12"/>
        <v>00:24:40</v>
      </c>
      <c r="H310" t="str">
        <f t="shared" si="13"/>
        <v>00:24:44</v>
      </c>
      <c r="I310" t="str">
        <f t="shared" si="14"/>
        <v>انا غلطت في السؤال بس اني فهمته بعد ما غلطت. </v>
      </c>
    </row>
    <row r="311" spans="1:9" x14ac:dyDescent="0.2">
      <c r="A311" s="3" t="s">
        <v>201</v>
      </c>
      <c r="G311" t="str">
        <f t="shared" si="12"/>
        <v>انا غلطت</v>
      </c>
      <c r="H311" t="e">
        <f t="shared" si="13"/>
        <v>#VALUE!</v>
      </c>
      <c r="I311">
        <f t="shared" si="14"/>
        <v>0</v>
      </c>
    </row>
    <row r="312" spans="1:9" x14ac:dyDescent="0.2">
      <c r="G312" t="str">
        <f t="shared" si="12"/>
        <v/>
      </c>
      <c r="H312" t="e">
        <f t="shared" si="13"/>
        <v>#VALUE!</v>
      </c>
      <c r="I312" t="str">
        <f t="shared" si="14"/>
        <v>00:24:44,552 --&gt; 00:24:45,631</v>
      </c>
    </row>
    <row r="313" spans="1:9" x14ac:dyDescent="0.2">
      <c r="A313" s="2" t="s">
        <v>202</v>
      </c>
      <c r="G313" t="str">
        <f t="shared" si="12"/>
        <v>00:24:44</v>
      </c>
      <c r="H313" t="str">
        <f t="shared" si="13"/>
        <v>00:24:45</v>
      </c>
      <c r="I313" t="str">
        <f t="shared" si="14"/>
        <v>يلا روح يا خالد. </v>
      </c>
    </row>
    <row r="314" spans="1:9" x14ac:dyDescent="0.2">
      <c r="A314" s="3" t="s">
        <v>203</v>
      </c>
      <c r="G314" t="str">
        <f t="shared" si="12"/>
        <v xml:space="preserve">يلا روح </v>
      </c>
      <c r="H314" t="e">
        <f t="shared" si="13"/>
        <v>#VALUE!</v>
      </c>
      <c r="I314">
        <f t="shared" si="14"/>
        <v>0</v>
      </c>
    </row>
    <row r="315" spans="1:9" x14ac:dyDescent="0.2">
      <c r="G315" t="str">
        <f t="shared" si="12"/>
        <v/>
      </c>
      <c r="H315" t="e">
        <f t="shared" si="13"/>
        <v>#VALUE!</v>
      </c>
      <c r="I315" t="str">
        <f t="shared" si="14"/>
        <v>00:24:45,632 --&gt; 00:24:53,052</v>
      </c>
    </row>
    <row r="316" spans="1:9" x14ac:dyDescent="0.2">
      <c r="A316" s="2" t="s">
        <v>204</v>
      </c>
      <c r="G316" t="str">
        <f t="shared" si="12"/>
        <v>00:24:45</v>
      </c>
      <c r="H316" t="str">
        <f t="shared" si="13"/>
        <v>00:24:53</v>
      </c>
      <c r="I316" t="str">
        <f t="shared" si="14"/>
        <v>يقولون في الشكل التالي دائرة نصف قطرها 3 سنتيمتر. مساحة الجزء المظلل. </v>
      </c>
    </row>
    <row r="317" spans="1:9" x14ac:dyDescent="0.2">
      <c r="A317" s="3" t="s">
        <v>205</v>
      </c>
      <c r="G317" t="str">
        <f t="shared" si="12"/>
        <v>يقولون ف</v>
      </c>
      <c r="H317" t="e">
        <f t="shared" si="13"/>
        <v>#VALUE!</v>
      </c>
      <c r="I317">
        <f t="shared" si="14"/>
        <v>0</v>
      </c>
    </row>
    <row r="318" spans="1:9" x14ac:dyDescent="0.2">
      <c r="G318" t="str">
        <f t="shared" si="12"/>
        <v/>
      </c>
      <c r="H318" t="e">
        <f t="shared" si="13"/>
        <v>#VALUE!</v>
      </c>
      <c r="I318" t="str">
        <f t="shared" si="14"/>
        <v>00:24:53,052 --&gt; 00:24:54,572</v>
      </c>
    </row>
    <row r="319" spans="1:9" x14ac:dyDescent="0.2">
      <c r="A319" s="2" t="s">
        <v>206</v>
      </c>
      <c r="G319" t="str">
        <f t="shared" si="12"/>
        <v>00:24:53</v>
      </c>
      <c r="H319" t="str">
        <f t="shared" si="13"/>
        <v>00:24:54</v>
      </c>
      <c r="I319" t="str">
        <f t="shared" si="14"/>
        <v>ممتاز </v>
      </c>
    </row>
    <row r="320" spans="1:9" x14ac:dyDescent="0.2">
      <c r="A320" s="3" t="s">
        <v>207</v>
      </c>
      <c r="G320" t="str">
        <f t="shared" si="12"/>
        <v>ممتاز </v>
      </c>
      <c r="H320" t="e">
        <f t="shared" si="13"/>
        <v>#VALUE!</v>
      </c>
      <c r="I320">
        <f t="shared" si="14"/>
        <v>0</v>
      </c>
    </row>
    <row r="321" spans="1:9" x14ac:dyDescent="0.2">
      <c r="G321" t="str">
        <f t="shared" ref="G321:G384" si="15">LEFT(A321, 8)</f>
        <v/>
      </c>
      <c r="H321" t="e">
        <f t="shared" ref="H321:H384" si="16">LEFT(TRIM(MID(A321, FIND("--&gt;", A321)+3, 20)), 8)</f>
        <v>#VALUE!</v>
      </c>
      <c r="I321" t="str">
        <f t="shared" ref="I321:I384" si="17">A322</f>
        <v>00:24:54,572 --&gt; 00:24:56,952</v>
      </c>
    </row>
    <row r="322" spans="1:9" x14ac:dyDescent="0.2">
      <c r="A322" s="2" t="s">
        <v>208</v>
      </c>
      <c r="G322" t="str">
        <f t="shared" si="15"/>
        <v>00:24:54</v>
      </c>
      <c r="H322" t="str">
        <f t="shared" si="16"/>
        <v>00:24:56</v>
      </c>
      <c r="I322" t="str">
        <f t="shared" si="17"/>
        <v>ولو... </v>
      </c>
    </row>
    <row r="323" spans="1:9" x14ac:dyDescent="0.2">
      <c r="A323" s="3" t="s">
        <v>209</v>
      </c>
      <c r="G323" t="str">
        <f t="shared" si="15"/>
        <v>ولو... </v>
      </c>
      <c r="H323" t="e">
        <f t="shared" si="16"/>
        <v>#VALUE!</v>
      </c>
      <c r="I323">
        <f t="shared" si="17"/>
        <v>0</v>
      </c>
    </row>
    <row r="324" spans="1:9" x14ac:dyDescent="0.2">
      <c r="G324" t="str">
        <f t="shared" si="15"/>
        <v/>
      </c>
      <c r="H324" t="e">
        <f t="shared" si="16"/>
        <v>#VALUE!</v>
      </c>
      <c r="I324" t="str">
        <f t="shared" si="17"/>
        <v>00:24:56,952 --&gt; 00:25:03,852</v>
      </c>
    </row>
    <row r="325" spans="1:9" x14ac:dyDescent="0.2">
      <c r="A325" s="2" t="s">
        <v>210</v>
      </c>
      <c r="G325" t="str">
        <f t="shared" si="15"/>
        <v>00:24:56</v>
      </c>
      <c r="H325" t="str">
        <f t="shared" si="16"/>
        <v>00:25:03</v>
      </c>
      <c r="I325" t="str">
        <f t="shared" si="17"/>
        <v>لو نلاحظ ان الجزء الغير مظلل. زاويته 120 اللي هي ثلث ثلث المثلث الدائرة. </v>
      </c>
    </row>
    <row r="326" spans="1:9" x14ac:dyDescent="0.2">
      <c r="A326" s="3" t="s">
        <v>211</v>
      </c>
      <c r="G326" t="str">
        <f t="shared" si="15"/>
        <v>لو نلاحظ</v>
      </c>
      <c r="H326" t="e">
        <f t="shared" si="16"/>
        <v>#VALUE!</v>
      </c>
      <c r="I326">
        <f t="shared" si="17"/>
        <v>0</v>
      </c>
    </row>
    <row r="327" spans="1:9" x14ac:dyDescent="0.2">
      <c r="G327" t="str">
        <f t="shared" si="15"/>
        <v/>
      </c>
      <c r="H327" t="e">
        <f t="shared" si="16"/>
        <v>#VALUE!</v>
      </c>
      <c r="I327" t="str">
        <f t="shared" si="17"/>
        <v>00:25:03,852 --&gt; 00:25:10,492</v>
      </c>
    </row>
    <row r="328" spans="1:9" x14ac:dyDescent="0.2">
      <c r="A328" s="2" t="s">
        <v>212</v>
      </c>
      <c r="G328" t="str">
        <f t="shared" si="15"/>
        <v>00:25:03</v>
      </c>
      <c r="H328" t="str">
        <f t="shared" si="16"/>
        <v>00:25:10</v>
      </c>
      <c r="I328" t="str">
        <f t="shared" si="17"/>
        <v>المثال 120 هي ثلث الدائرة صح؟ صح. اذا المضلل كم هو؟ </v>
      </c>
    </row>
    <row r="329" spans="1:9" x14ac:dyDescent="0.2">
      <c r="A329" s="3" t="s">
        <v>213</v>
      </c>
      <c r="G329" t="str">
        <f t="shared" si="15"/>
        <v>المثال 1</v>
      </c>
      <c r="H329" t="e">
        <f t="shared" si="16"/>
        <v>#VALUE!</v>
      </c>
      <c r="I329">
        <f t="shared" si="17"/>
        <v>0</v>
      </c>
    </row>
    <row r="330" spans="1:9" x14ac:dyDescent="0.2">
      <c r="G330" t="str">
        <f t="shared" si="15"/>
        <v/>
      </c>
      <c r="H330" t="e">
        <f t="shared" si="16"/>
        <v>#VALUE!</v>
      </c>
      <c r="I330" t="str">
        <f t="shared" si="17"/>
        <v>00:25:10,492 --&gt; 00:25:13,452</v>
      </c>
    </row>
    <row r="331" spans="1:9" x14ac:dyDescent="0.2">
      <c r="A331" s="2" t="s">
        <v>214</v>
      </c>
      <c r="G331" t="str">
        <f t="shared" si="15"/>
        <v>00:25:10</v>
      </c>
      <c r="H331" t="str">
        <f t="shared" si="16"/>
        <v>00:25:13</v>
      </c>
      <c r="I331" t="str">
        <f t="shared" si="17"/>
        <v>240. </v>
      </c>
    </row>
    <row r="332" spans="1:9" x14ac:dyDescent="0.2">
      <c r="A332" s="3" t="s">
        <v>215</v>
      </c>
      <c r="G332" t="str">
        <f t="shared" si="15"/>
        <v>240. </v>
      </c>
      <c r="H332" t="e">
        <f t="shared" si="16"/>
        <v>#VALUE!</v>
      </c>
      <c r="I332">
        <f t="shared" si="17"/>
        <v>0</v>
      </c>
    </row>
    <row r="333" spans="1:9" x14ac:dyDescent="0.2">
      <c r="G333" t="str">
        <f t="shared" si="15"/>
        <v/>
      </c>
      <c r="H333" t="e">
        <f t="shared" si="16"/>
        <v>#VALUE!</v>
      </c>
      <c r="I333" t="str">
        <f t="shared" si="17"/>
        <v>00:25:13,452 --&gt; 00:25:32,551</v>
      </c>
    </row>
    <row r="334" spans="1:9" x14ac:dyDescent="0.2">
      <c r="A334" s="2" t="s">
        <v>216</v>
      </c>
      <c r="G334" t="str">
        <f t="shared" si="15"/>
        <v>00:25:13</v>
      </c>
      <c r="H334" t="str">
        <f t="shared" si="16"/>
        <v>00:25:32</v>
      </c>
      <c r="I334" t="str">
        <f t="shared" si="17"/>
        <v>كم نسبته. ممتاز 240. اذا باقي من 360. 240. اذا ابغى احسب نسبة نسبة المضلل. نقسمها على 360 يساوي الصفر يروح مع الصفر. و24 نبسطها مع 36 بنقسمهم على على كام </v>
      </c>
    </row>
    <row r="335" spans="1:9" x14ac:dyDescent="0.2">
      <c r="A335" s="3" t="s">
        <v>217</v>
      </c>
      <c r="G335" t="str">
        <f t="shared" si="15"/>
        <v>كم نسبته</v>
      </c>
      <c r="H335" t="e">
        <f t="shared" si="16"/>
        <v>#VALUE!</v>
      </c>
      <c r="I335">
        <f t="shared" si="17"/>
        <v>0</v>
      </c>
    </row>
    <row r="336" spans="1:9" x14ac:dyDescent="0.2">
      <c r="G336" t="str">
        <f t="shared" si="15"/>
        <v/>
      </c>
      <c r="H336" t="e">
        <f t="shared" si="16"/>
        <v>#VALUE!</v>
      </c>
      <c r="I336" t="str">
        <f t="shared" si="17"/>
        <v>00:25:32,552 --&gt; 00:25:37,292</v>
      </c>
    </row>
    <row r="337" spans="1:9" x14ac:dyDescent="0.2">
      <c r="A337" s="2" t="s">
        <v>218</v>
      </c>
      <c r="G337" t="str">
        <f t="shared" si="15"/>
        <v>00:25:32</v>
      </c>
      <c r="H337" t="str">
        <f t="shared" si="16"/>
        <v>00:25:37</v>
      </c>
      <c r="I337" t="str">
        <f t="shared" si="17"/>
        <v>على 6 صح 6 على 6 </v>
      </c>
    </row>
    <row r="338" spans="1:9" x14ac:dyDescent="0.2">
      <c r="A338" s="3" t="s">
        <v>219</v>
      </c>
      <c r="G338" t="str">
        <f t="shared" si="15"/>
        <v>على 6 صح</v>
      </c>
      <c r="H338" t="e">
        <f t="shared" si="16"/>
        <v>#VALUE!</v>
      </c>
      <c r="I338">
        <f t="shared" si="17"/>
        <v>0</v>
      </c>
    </row>
    <row r="339" spans="1:9" x14ac:dyDescent="0.2">
      <c r="G339" t="str">
        <f t="shared" si="15"/>
        <v/>
      </c>
      <c r="H339" t="e">
        <f t="shared" si="16"/>
        <v>#VALUE!</v>
      </c>
      <c r="I339" t="str">
        <f t="shared" si="17"/>
        <v>00:25:37,292 --&gt; 00:25:59,292</v>
      </c>
    </row>
    <row r="340" spans="1:9" x14ac:dyDescent="0.2">
      <c r="A340" s="2" t="s">
        <v>220</v>
      </c>
      <c r="G340" t="str">
        <f t="shared" si="15"/>
        <v>00:25:37</v>
      </c>
      <c r="H340" t="str">
        <f t="shared" si="16"/>
        <v>00:25:59</v>
      </c>
      <c r="I340" t="str">
        <f t="shared" si="17"/>
        <v>او على 12 افضل 24 على 12 بكم ب2. وستة وثلاثين على اثنعش بكم؟ ثلاثة اذا قسمنا على اثنعش وقسمنا على اثنعش بدل ما نبسط مرتين والصفر يروح مع الصفر. اذا كم نسبة المضلل؟ ثلثين ثلثين صحيح. كم مساحة الدائرة؟ احسب لي مساحة الدائرة. </v>
      </c>
    </row>
    <row r="341" spans="1:9" x14ac:dyDescent="0.2">
      <c r="A341" s="3" t="s">
        <v>221</v>
      </c>
      <c r="G341" t="str">
        <f t="shared" si="15"/>
        <v>او على 1</v>
      </c>
      <c r="H341" t="e">
        <f t="shared" si="16"/>
        <v>#VALUE!</v>
      </c>
      <c r="I341">
        <f t="shared" si="17"/>
        <v>0</v>
      </c>
    </row>
    <row r="342" spans="1:9" x14ac:dyDescent="0.2">
      <c r="G342" t="str">
        <f t="shared" si="15"/>
        <v/>
      </c>
      <c r="H342" t="e">
        <f t="shared" si="16"/>
        <v>#VALUE!</v>
      </c>
      <c r="I342" t="str">
        <f t="shared" si="17"/>
        <v>00:25:59,292 --&gt; 00:26:08,952</v>
      </c>
    </row>
    <row r="343" spans="1:9" x14ac:dyDescent="0.2">
      <c r="A343" s="2" t="s">
        <v>222</v>
      </c>
      <c r="G343" t="str">
        <f t="shared" si="15"/>
        <v>00:25:59</v>
      </c>
      <c r="H343" t="str">
        <f t="shared" si="16"/>
        <v>00:26:08</v>
      </c>
      <c r="I343" t="str">
        <f t="shared" si="17"/>
        <v>اللي هو قال لي الحين في المعطيات ان نصف قطرها ثلاثة. الدائرة طاء نقط تربيعي اللي هي نصف القطر ثلاثة تربيع تسعة. </v>
      </c>
    </row>
    <row r="344" spans="1:9" x14ac:dyDescent="0.2">
      <c r="A344" s="3" t="s">
        <v>223</v>
      </c>
      <c r="G344" t="str">
        <f t="shared" si="15"/>
        <v xml:space="preserve">اللي هو </v>
      </c>
      <c r="H344" t="e">
        <f t="shared" si="16"/>
        <v>#VALUE!</v>
      </c>
      <c r="I344">
        <f t="shared" si="17"/>
        <v>0</v>
      </c>
    </row>
    <row r="345" spans="1:9" x14ac:dyDescent="0.2">
      <c r="G345" t="str">
        <f t="shared" si="15"/>
        <v/>
      </c>
      <c r="H345" t="e">
        <f t="shared" si="16"/>
        <v>#VALUE!</v>
      </c>
      <c r="I345" t="str">
        <f t="shared" si="17"/>
        <v>00:26:08,952 --&gt; 00:26:13,332</v>
      </c>
    </row>
    <row r="346" spans="1:9" x14ac:dyDescent="0.2">
      <c r="A346" s="2" t="s">
        <v>224</v>
      </c>
      <c r="G346" t="str">
        <f t="shared" si="15"/>
        <v>00:26:08</v>
      </c>
      <c r="H346" t="str">
        <f t="shared" si="16"/>
        <v>00:26:13</v>
      </c>
      <c r="I346" t="str">
        <f t="shared" si="17"/>
        <v>طه اي ممتاز. طيب مساحة المضلل. </v>
      </c>
    </row>
    <row r="347" spans="1:9" x14ac:dyDescent="0.2">
      <c r="A347" s="3" t="s">
        <v>225</v>
      </c>
      <c r="G347" t="str">
        <f t="shared" si="15"/>
        <v>طه اي مم</v>
      </c>
      <c r="H347" t="e">
        <f t="shared" si="16"/>
        <v>#VALUE!</v>
      </c>
      <c r="I347">
        <f t="shared" si="17"/>
        <v>0</v>
      </c>
    </row>
    <row r="348" spans="1:9" x14ac:dyDescent="0.2">
      <c r="G348" t="str">
        <f t="shared" si="15"/>
        <v/>
      </c>
      <c r="H348" t="e">
        <f t="shared" si="16"/>
        <v>#VALUE!</v>
      </c>
      <c r="I348" t="str">
        <f t="shared" si="17"/>
        <v>00:26:13,332 --&gt; 00:26:15,932</v>
      </c>
    </row>
    <row r="349" spans="1:9" x14ac:dyDescent="0.2">
      <c r="A349" s="2" t="s">
        <v>226</v>
      </c>
      <c r="G349" t="str">
        <f t="shared" si="15"/>
        <v>00:26:13</v>
      </c>
      <c r="H349" t="str">
        <f t="shared" si="16"/>
        <v>00:26:15</v>
      </c>
      <c r="I349" t="str">
        <f t="shared" si="17"/>
        <v>مساحة المضلل اللي هو </v>
      </c>
    </row>
    <row r="350" spans="1:9" x14ac:dyDescent="0.2">
      <c r="A350" s="3" t="s">
        <v>227</v>
      </c>
      <c r="G350" t="str">
        <f t="shared" si="15"/>
        <v>مساحة ال</v>
      </c>
      <c r="H350" t="e">
        <f t="shared" si="16"/>
        <v>#VALUE!</v>
      </c>
      <c r="I350">
        <f t="shared" si="17"/>
        <v>0</v>
      </c>
    </row>
    <row r="351" spans="1:9" x14ac:dyDescent="0.2">
      <c r="G351" t="str">
        <f t="shared" si="15"/>
        <v/>
      </c>
      <c r="H351" t="e">
        <f t="shared" si="16"/>
        <v>#VALUE!</v>
      </c>
      <c r="I351" t="str">
        <f t="shared" si="17"/>
        <v>00:26:15,932 --&gt; 00:26:17,372</v>
      </c>
    </row>
    <row r="352" spans="1:9" x14ac:dyDescent="0.2">
      <c r="A352" s="2" t="s">
        <v>228</v>
      </c>
      <c r="G352" t="str">
        <f t="shared" si="15"/>
        <v>00:26:15</v>
      </c>
      <c r="H352" t="str">
        <f t="shared" si="16"/>
        <v>00:26:17</v>
      </c>
      <c r="I352" t="str">
        <f t="shared" si="17"/>
        <v>ستة. اللي هو الثلثين. </v>
      </c>
    </row>
    <row r="353" spans="1:9" x14ac:dyDescent="0.2">
      <c r="A353" s="3" t="s">
        <v>229</v>
      </c>
      <c r="G353" t="str">
        <f t="shared" si="15"/>
        <v>ستة. الل</v>
      </c>
      <c r="H353" t="e">
        <f t="shared" si="16"/>
        <v>#VALUE!</v>
      </c>
      <c r="I353">
        <f t="shared" si="17"/>
        <v>0</v>
      </c>
    </row>
    <row r="354" spans="1:9" x14ac:dyDescent="0.2">
      <c r="G354" t="str">
        <f t="shared" si="15"/>
        <v/>
      </c>
      <c r="H354" t="e">
        <f t="shared" si="16"/>
        <v>#VALUE!</v>
      </c>
      <c r="I354" t="str">
        <f t="shared" si="17"/>
        <v>00:26:17,372 --&gt; 00:26:20,712</v>
      </c>
    </row>
    <row r="355" spans="1:9" x14ac:dyDescent="0.2">
      <c r="A355" s="2" t="s">
        <v>230</v>
      </c>
      <c r="G355" t="str">
        <f t="shared" si="15"/>
        <v>00:26:17</v>
      </c>
      <c r="H355" t="str">
        <f t="shared" si="16"/>
        <v>00:26:20</v>
      </c>
      <c r="I355" t="str">
        <f t="shared" si="17"/>
        <v>لا اللي هو نضرب ثلثين </v>
      </c>
    </row>
    <row r="356" spans="1:9" x14ac:dyDescent="0.2">
      <c r="A356" s="3" t="s">
        <v>231</v>
      </c>
      <c r="G356" t="str">
        <f t="shared" si="15"/>
        <v xml:space="preserve">لا اللي </v>
      </c>
      <c r="H356" t="e">
        <f t="shared" si="16"/>
        <v>#VALUE!</v>
      </c>
      <c r="I356">
        <f t="shared" si="17"/>
        <v>0</v>
      </c>
    </row>
    <row r="357" spans="1:9" x14ac:dyDescent="0.2">
      <c r="G357" t="str">
        <f t="shared" si="15"/>
        <v/>
      </c>
      <c r="H357" t="e">
        <f t="shared" si="16"/>
        <v>#VALUE!</v>
      </c>
      <c r="I357" t="str">
        <f t="shared" si="17"/>
        <v>00:26:20,712 --&gt; 00:26:29,212</v>
      </c>
    </row>
    <row r="358" spans="1:9" x14ac:dyDescent="0.2">
      <c r="A358" s="2" t="s">
        <v>232</v>
      </c>
      <c r="G358" t="str">
        <f t="shared" si="15"/>
        <v>00:26:20</v>
      </c>
      <c r="H358" t="str">
        <f t="shared" si="16"/>
        <v>00:26:29</v>
      </c>
      <c r="I358" t="str">
        <f t="shared" si="17"/>
        <v>النسبة ضرب تسعة. طا جميل. اي تروح التسعة مع الثلاثة فيها كم فيها؟ </v>
      </c>
    </row>
    <row r="359" spans="1:9" x14ac:dyDescent="0.2">
      <c r="A359" s="3" t="s">
        <v>233</v>
      </c>
      <c r="G359" t="str">
        <f t="shared" si="15"/>
        <v>النسبة ض</v>
      </c>
      <c r="H359" t="e">
        <f t="shared" si="16"/>
        <v>#VALUE!</v>
      </c>
      <c r="I359">
        <f t="shared" si="17"/>
        <v>0</v>
      </c>
    </row>
    <row r="360" spans="1:9" x14ac:dyDescent="0.2">
      <c r="G360" t="str">
        <f t="shared" si="15"/>
        <v/>
      </c>
      <c r="H360" t="e">
        <f t="shared" si="16"/>
        <v>#VALUE!</v>
      </c>
      <c r="I360" t="str">
        <f t="shared" si="17"/>
        <v>00:26:29,212 --&gt; 00:26:29,692</v>
      </c>
    </row>
    <row r="361" spans="1:9" x14ac:dyDescent="0.2">
      <c r="A361" s="2" t="s">
        <v>234</v>
      </c>
      <c r="G361" t="str">
        <f t="shared" si="15"/>
        <v>00:26:29</v>
      </c>
      <c r="H361" t="str">
        <f t="shared" si="16"/>
        <v>00:26:29</v>
      </c>
      <c r="I361" t="str">
        <f t="shared" si="17"/>
        <v>ثلاثة. </v>
      </c>
    </row>
    <row r="362" spans="1:9" x14ac:dyDescent="0.2">
      <c r="A362" s="3" t="s">
        <v>235</v>
      </c>
      <c r="G362" t="str">
        <f t="shared" si="15"/>
        <v>ثلاثة. </v>
      </c>
      <c r="H362" t="e">
        <f t="shared" si="16"/>
        <v>#VALUE!</v>
      </c>
      <c r="I362">
        <f t="shared" si="17"/>
        <v>0</v>
      </c>
    </row>
    <row r="363" spans="1:9" x14ac:dyDescent="0.2">
      <c r="G363" t="str">
        <f t="shared" si="15"/>
        <v/>
      </c>
      <c r="H363" t="e">
        <f t="shared" si="16"/>
        <v>#VALUE!</v>
      </c>
      <c r="I363" t="str">
        <f t="shared" si="17"/>
        <v>00:26:29,692 --&gt; 00:26:43,372</v>
      </c>
    </row>
    <row r="364" spans="1:9" x14ac:dyDescent="0.2">
      <c r="A364" s="2" t="s">
        <v>236</v>
      </c>
      <c r="G364" t="str">
        <f t="shared" si="15"/>
        <v>00:26:29</v>
      </c>
      <c r="H364" t="str">
        <f t="shared" si="16"/>
        <v>00:26:43</v>
      </c>
      <c r="I364" t="str">
        <f t="shared" si="17"/>
        <v>ثلاثة. اثنين في ثلاثة بستة. طا اجابتك صحيحة وبيض الله وجهك. يعطيك العافية. شكرا لك يا خالد. الله يعطيك العافية. كفو. طيب واضح يا شباب. </v>
      </c>
    </row>
    <row r="365" spans="1:9" x14ac:dyDescent="0.2">
      <c r="A365" s="3" t="s">
        <v>237</v>
      </c>
      <c r="G365" t="str">
        <f t="shared" si="15"/>
        <v>ثلاثة. ا</v>
      </c>
      <c r="H365" t="e">
        <f t="shared" si="16"/>
        <v>#VALUE!</v>
      </c>
      <c r="I365">
        <f t="shared" si="17"/>
        <v>0</v>
      </c>
    </row>
    <row r="366" spans="1:9" x14ac:dyDescent="0.2">
      <c r="G366" t="str">
        <f t="shared" si="15"/>
        <v/>
      </c>
      <c r="H366" t="e">
        <f t="shared" si="16"/>
        <v>#VALUE!</v>
      </c>
      <c r="I366" t="str">
        <f t="shared" si="17"/>
        <v>00:26:43,372 --&gt; 00:26:48,312</v>
      </c>
    </row>
    <row r="367" spans="1:9" x14ac:dyDescent="0.2">
      <c r="A367" s="2" t="s">
        <v>238</v>
      </c>
      <c r="G367" t="str">
        <f t="shared" si="15"/>
        <v>00:26:43</v>
      </c>
      <c r="H367" t="str">
        <f t="shared" si="16"/>
        <v>00:26:48</v>
      </c>
      <c r="I367" t="str">
        <f t="shared" si="17"/>
        <v>واضح. اكتبوا لي في الشات. الكل واضح. </v>
      </c>
    </row>
    <row r="368" spans="1:9" x14ac:dyDescent="0.2">
      <c r="A368" s="3" t="s">
        <v>239</v>
      </c>
      <c r="G368" t="str">
        <f t="shared" si="15"/>
        <v>واضح. اك</v>
      </c>
      <c r="H368" t="e">
        <f t="shared" si="16"/>
        <v>#VALUE!</v>
      </c>
      <c r="I368">
        <f t="shared" si="17"/>
        <v>0</v>
      </c>
    </row>
    <row r="369" spans="1:9" x14ac:dyDescent="0.2">
      <c r="G369" t="str">
        <f t="shared" si="15"/>
        <v/>
      </c>
      <c r="H369" t="e">
        <f t="shared" si="16"/>
        <v>#VALUE!</v>
      </c>
      <c r="I369" t="str">
        <f t="shared" si="17"/>
        <v>00:26:48,392 --&gt; 00:26:54,392</v>
      </c>
    </row>
    <row r="370" spans="1:9" x14ac:dyDescent="0.2">
      <c r="A370" s="2" t="s">
        <v>240</v>
      </c>
      <c r="G370" t="str">
        <f t="shared" si="15"/>
        <v>00:26:48</v>
      </c>
      <c r="H370" t="str">
        <f t="shared" si="16"/>
        <v>00:26:54</v>
      </c>
      <c r="I370" t="str">
        <f t="shared" si="17"/>
        <v>سهل. روح للي بعده. </v>
      </c>
    </row>
    <row r="371" spans="1:9" x14ac:dyDescent="0.2">
      <c r="A371" s="3" t="s">
        <v>241</v>
      </c>
      <c r="G371" t="str">
        <f t="shared" si="15"/>
        <v>سهل. روح</v>
      </c>
      <c r="H371" t="e">
        <f t="shared" si="16"/>
        <v>#VALUE!</v>
      </c>
      <c r="I371">
        <f t="shared" si="17"/>
        <v>0</v>
      </c>
    </row>
    <row r="372" spans="1:9" x14ac:dyDescent="0.2">
      <c r="G372" t="str">
        <f t="shared" si="15"/>
        <v/>
      </c>
      <c r="H372" t="e">
        <f t="shared" si="16"/>
        <v>#VALUE!</v>
      </c>
      <c r="I372" t="str">
        <f t="shared" si="17"/>
        <v>00:26:54,392 --&gt; 00:26:58,952</v>
      </c>
    </row>
    <row r="373" spans="1:9" x14ac:dyDescent="0.2">
      <c r="A373" s="2" t="s">
        <v>242</v>
      </c>
      <c r="G373" t="str">
        <f t="shared" si="15"/>
        <v>00:26:54</v>
      </c>
      <c r="H373" t="str">
        <f t="shared" si="16"/>
        <v>00:26:58</v>
      </c>
      <c r="I373" t="str">
        <f t="shared" si="17"/>
        <v>جميل. طيب. </v>
      </c>
    </row>
    <row r="374" spans="1:9" x14ac:dyDescent="0.2">
      <c r="A374" s="3" t="s">
        <v>243</v>
      </c>
      <c r="G374" t="str">
        <f t="shared" si="15"/>
        <v>جميل. طي</v>
      </c>
      <c r="H374" t="e">
        <f t="shared" si="16"/>
        <v>#VALUE!</v>
      </c>
      <c r="I374">
        <f t="shared" si="17"/>
        <v>0</v>
      </c>
    </row>
    <row r="375" spans="1:9" x14ac:dyDescent="0.2">
      <c r="G375" t="str">
        <f t="shared" si="15"/>
        <v/>
      </c>
      <c r="H375" t="e">
        <f t="shared" si="16"/>
        <v>#VALUE!</v>
      </c>
      <c r="I375" t="str">
        <f t="shared" si="17"/>
        <v>00:27:02,232 --&gt; 00:27:36,012</v>
      </c>
    </row>
    <row r="376" spans="1:9" x14ac:dyDescent="0.2">
      <c r="A376" s="2" t="s">
        <v>244</v>
      </c>
      <c r="G376" t="str">
        <f t="shared" si="15"/>
        <v>00:27:02</v>
      </c>
      <c r="H376" t="str">
        <f t="shared" si="16"/>
        <v>00:27:36</v>
      </c>
      <c r="I376" t="str">
        <f t="shared" si="17"/>
        <v>ممتاز. يلا نروح للي بعده. عندنا الرباعي الدائري ما هو الرباعي الدائري؟ هو رباعي شكل رباعي مرسوم رؤوسه على محيط الدائرة. طيب ايش نستفيد منه؟ كل زاويتين متقابلتين متكاملتين. يعني مجموعهم 180. يعني لو كان هذه الزاوية مثلا قياسها 70 كم قياس اللي تقابلها؟ لو كان هذه 70 كم الاكس اللي قدامها او سين راح تكون 110 سهل </v>
      </c>
    </row>
    <row r="377" spans="1:9" x14ac:dyDescent="0.2">
      <c r="A377" s="3" t="s">
        <v>245</v>
      </c>
      <c r="G377" t="str">
        <f t="shared" si="15"/>
        <v>ممتاز. ي</v>
      </c>
      <c r="H377" t="e">
        <f t="shared" si="16"/>
        <v>#VALUE!</v>
      </c>
      <c r="I377">
        <f t="shared" si="17"/>
        <v>0</v>
      </c>
    </row>
    <row r="378" spans="1:9" x14ac:dyDescent="0.2">
      <c r="G378" t="str">
        <f t="shared" si="15"/>
        <v/>
      </c>
      <c r="H378" t="e">
        <f t="shared" si="16"/>
        <v>#VALUE!</v>
      </c>
      <c r="I378" t="str">
        <f t="shared" si="17"/>
        <v>00:27:36,012 --&gt; 00:28:37,752</v>
      </c>
    </row>
    <row r="379" spans="1:9" x14ac:dyDescent="0.2">
      <c r="A379" s="2" t="s">
        <v>246</v>
      </c>
      <c r="G379" t="str">
        <f t="shared" si="15"/>
        <v>00:27:36</v>
      </c>
      <c r="H379" t="str">
        <f t="shared" si="16"/>
        <v>00:28:37</v>
      </c>
      <c r="I379" t="str">
        <f t="shared" si="17"/>
        <v>واضح جميل. طيب عندنا المضلعات المنتظمة اللي داخل الدائرة. ايش يعني منتظمة؟ يعني اضلاعها متطابقة. المثلث متطابق الاضلاع اللي داخل دائرة اذا نبغى طول ضلعه نضرب نصف قطر الدائرة في جذر 3. المربع اللي مرسوم داخل دائرة. اذا نبغى ضلع المربع نضرب نصف القطر في جذر 2. وهذي بنشوفها حسب كل سؤال. ايش اللي بيصير معنا؟ اذا كان عندي سداسي داخل دائرة. طول ضلع السداسي يساوي نصف القطر ولا تضرب في شيء. اذا السداسي نصف القطر هو طول الضلع لانه عبارة عن مثلثات متطابقة. الاضلاع هو عبارة عن مثلثات متطابقة. الاضلاع. هذا نصف قطر. هذا نصف قطر. وهذا ضلع السداسي. فمباشرة طول الضلع يساوي نصف القطر. يهمنا دائما لو عندي دائرة هذا اللي تحتاجه. وكان عندي مثلا </v>
      </c>
    </row>
    <row r="380" spans="1:9" x14ac:dyDescent="0.2">
      <c r="A380" s="3" t="s">
        <v>247</v>
      </c>
      <c r="G380" t="str">
        <f t="shared" si="15"/>
        <v>واضح جمي</v>
      </c>
      <c r="H380" t="e">
        <f t="shared" si="16"/>
        <v>#VALUE!</v>
      </c>
      <c r="I380">
        <f t="shared" si="17"/>
        <v>0</v>
      </c>
    </row>
    <row r="381" spans="1:9" x14ac:dyDescent="0.2">
      <c r="G381" t="str">
        <f t="shared" si="15"/>
        <v/>
      </c>
      <c r="H381" t="e">
        <f t="shared" si="16"/>
        <v>#VALUE!</v>
      </c>
      <c r="I381" t="str">
        <f t="shared" si="17"/>
        <v>00:28:38,792 --&gt; 00:28:47,492</v>
      </c>
    </row>
    <row r="382" spans="1:9" x14ac:dyDescent="0.2">
      <c r="A382" s="2" t="s">
        <v>248</v>
      </c>
      <c r="G382" t="str">
        <f t="shared" si="15"/>
        <v>00:28:38</v>
      </c>
      <c r="H382" t="str">
        <f t="shared" si="16"/>
        <v>00:28:47</v>
      </c>
      <c r="I382" t="str">
        <f t="shared" si="17"/>
        <v>مثلث متطابق الضلعين اللي هو نصف قطر هنا ونصف قطر هنا. واحتجنا مثلا الضلع هذا </v>
      </c>
    </row>
    <row r="383" spans="1:9" x14ac:dyDescent="0.2">
      <c r="A383" s="3" t="s">
        <v>249</v>
      </c>
      <c r="G383" t="str">
        <f t="shared" si="15"/>
        <v>مثلث متط</v>
      </c>
      <c r="H383" t="e">
        <f t="shared" si="16"/>
        <v>#VALUE!</v>
      </c>
      <c r="I383">
        <f t="shared" si="17"/>
        <v>0</v>
      </c>
    </row>
    <row r="384" spans="1:9" x14ac:dyDescent="0.2">
      <c r="G384" t="str">
        <f t="shared" si="15"/>
        <v/>
      </c>
      <c r="H384" t="e">
        <f t="shared" si="16"/>
        <v>#VALUE!</v>
      </c>
      <c r="I384" t="str">
        <f t="shared" si="17"/>
        <v>00:28:48,972 --&gt; 00:29:08,892</v>
      </c>
    </row>
    <row r="385" spans="1:9" x14ac:dyDescent="0.2">
      <c r="A385" s="2" t="s">
        <v>250</v>
      </c>
      <c r="G385" t="str">
        <f t="shared" ref="G385:G418" si="18">LEFT(A385, 8)</f>
        <v>00:28:48</v>
      </c>
      <c r="H385" t="str">
        <f t="shared" ref="H385:H418" si="19">LEFT(TRIM(MID(A385, FIND("--&gt;", A385)+3, 20)), 8)</f>
        <v>00:29:08</v>
      </c>
      <c r="I385" t="str">
        <f t="shared" ref="I385:I418" si="20">A386</f>
        <v>تمام في المثلث متطابق الضلعين اخذناها امس. نضرب نصف القطر في جذر 2 يعطينا الوتر. الضلع اللي هنا هذه بنحتاجها في بعض الاسئلة اعتقد ان شاء الله. واضح هذه اخذناها امس. المثلث متطابق الضلعين. </v>
      </c>
    </row>
    <row r="386" spans="1:9" x14ac:dyDescent="0.2">
      <c r="A386" s="3" t="s">
        <v>251</v>
      </c>
      <c r="G386" t="str">
        <f t="shared" si="18"/>
        <v xml:space="preserve">تمام في </v>
      </c>
      <c r="H386" t="e">
        <f t="shared" si="19"/>
        <v>#VALUE!</v>
      </c>
      <c r="I386">
        <f t="shared" si="20"/>
        <v>0</v>
      </c>
    </row>
    <row r="387" spans="1:9" x14ac:dyDescent="0.2">
      <c r="G387" t="str">
        <f t="shared" si="18"/>
        <v/>
      </c>
      <c r="H387" t="e">
        <f t="shared" si="19"/>
        <v>#VALUE!</v>
      </c>
      <c r="I387" t="str">
        <f t="shared" si="20"/>
        <v>00:29:08,892 --&gt; 00:29:24,692</v>
      </c>
    </row>
    <row r="388" spans="1:9" x14ac:dyDescent="0.2">
      <c r="A388" s="2" t="s">
        <v>252</v>
      </c>
      <c r="G388" t="str">
        <f t="shared" si="18"/>
        <v>00:29:08</v>
      </c>
      <c r="H388" t="str">
        <f t="shared" si="19"/>
        <v>00:29:24</v>
      </c>
      <c r="I388" t="str">
        <f t="shared" si="20"/>
        <v>القائم الزاوية متطابق الضلعين. الوتر فيه يساوي طول الضلع في جذر 2. طبعا الضلع عندي هنا اصبح نصف قطر دائرة. عشان دخلنا الموضوع الان في الدائرة. طيب نبدأ.</v>
      </c>
    </row>
    <row r="389" spans="1:9" x14ac:dyDescent="0.2">
      <c r="A389" s="3" t="s">
        <v>253</v>
      </c>
      <c r="G389" t="str">
        <f t="shared" si="18"/>
        <v>القائم ا</v>
      </c>
      <c r="H389" t="e">
        <f t="shared" si="19"/>
        <v>#VALUE!</v>
      </c>
      <c r="I389">
        <f t="shared" si="20"/>
        <v>0</v>
      </c>
    </row>
    <row r="390" spans="1:9" x14ac:dyDescent="0.2">
      <c r="G390" t="str">
        <f t="shared" si="18"/>
        <v/>
      </c>
      <c r="H390" t="e">
        <f t="shared" si="19"/>
        <v>#VALUE!</v>
      </c>
      <c r="I390" t="str">
        <f t="shared" si="20"/>
        <v>00:29:27,472 --&gt; 00:29:50,312</v>
      </c>
    </row>
    <row r="391" spans="1:9" x14ac:dyDescent="0.2">
      <c r="A391" s="2" t="s">
        <v>254</v>
      </c>
      <c r="G391" t="str">
        <f t="shared" si="18"/>
        <v>00:29:27</v>
      </c>
      <c r="H391" t="str">
        <f t="shared" si="19"/>
        <v>00:29:50</v>
      </c>
      <c r="I391" t="str">
        <f t="shared" si="20"/>
        <v> اول شيء لازم تحدد طول المستطيل.</v>
      </c>
    </row>
    <row r="392" spans="1:9" x14ac:dyDescent="0.2">
      <c r="A392" s="3" t="s">
        <v>255</v>
      </c>
      <c r="G392" t="str">
        <f t="shared" si="18"/>
        <v> اول شيء</v>
      </c>
      <c r="H392" t="e">
        <f t="shared" si="19"/>
        <v>#VALUE!</v>
      </c>
      <c r="I392">
        <f t="shared" si="20"/>
        <v>0</v>
      </c>
    </row>
    <row r="393" spans="1:9" x14ac:dyDescent="0.2">
      <c r="G393" t="str">
        <f t="shared" si="18"/>
        <v/>
      </c>
      <c r="H393" t="e">
        <f t="shared" si="19"/>
        <v>#VALUE!</v>
      </c>
      <c r="I393" t="str">
        <f t="shared" si="20"/>
        <v>00:29:53,212 --&gt; 00:30:07,432</v>
      </c>
    </row>
    <row r="394" spans="1:9" x14ac:dyDescent="0.2">
      <c r="A394" s="2" t="s">
        <v>256</v>
      </c>
      <c r="G394" t="str">
        <f t="shared" si="18"/>
        <v>00:29:53</v>
      </c>
      <c r="H394" t="str">
        <f t="shared" si="19"/>
        <v>00:30:07</v>
      </c>
      <c r="I394" t="str">
        <f t="shared" si="20"/>
        <v> لازم تحدد طول المستطيل. اعطاك مساحته واعطاك محيطه. طبعا محيطه لو قسمتها على اثنين بيعطيك الطول مع العرض. يعني </v>
      </c>
    </row>
    <row r="395" spans="1:9" x14ac:dyDescent="0.2">
      <c r="A395" s="3" t="s">
        <v>257</v>
      </c>
      <c r="G395" t="str">
        <f t="shared" si="18"/>
        <v> لازم تح</v>
      </c>
      <c r="H395" t="e">
        <f t="shared" si="19"/>
        <v>#VALUE!</v>
      </c>
      <c r="I395">
        <f t="shared" si="20"/>
        <v>0</v>
      </c>
    </row>
    <row r="396" spans="1:9" x14ac:dyDescent="0.2">
      <c r="G396" t="str">
        <f t="shared" si="18"/>
        <v/>
      </c>
      <c r="H396" t="e">
        <f t="shared" si="19"/>
        <v>#VALUE!</v>
      </c>
      <c r="I396" t="str">
        <f t="shared" si="20"/>
        <v>00:30:07,432 --&gt; 00:30:28,216</v>
      </c>
    </row>
    <row r="397" spans="1:9" x14ac:dyDescent="0.2">
      <c r="A397" s="2" t="s">
        <v>258</v>
      </c>
      <c r="G397" t="str">
        <f t="shared" si="18"/>
        <v>00:30:07</v>
      </c>
      <c r="H397" t="str">
        <f t="shared" si="19"/>
        <v>00:30:28</v>
      </c>
      <c r="I397" t="str">
        <f t="shared" si="20"/>
        <v>نصف المحيط هو الطول زائد العرض. طيب الطول زائد العرض. الطول والعرض لو ضربناهم يعطيني 24 اجابات اغلبها صحيحة. يضربوا اجييكم. طيب من اللي بيطلب الستيج يا شباب؟برضو ممتازين. احد بيطلب زي مايك اسف </v>
      </c>
    </row>
    <row r="398" spans="1:9" x14ac:dyDescent="0.2">
      <c r="A398" s="3" t="s">
        <v>259</v>
      </c>
      <c r="G398" t="str">
        <f t="shared" si="18"/>
        <v>نصف المح</v>
      </c>
      <c r="H398" t="e">
        <f t="shared" si="19"/>
        <v>#VALUE!</v>
      </c>
      <c r="I398">
        <f t="shared" si="20"/>
        <v>0</v>
      </c>
    </row>
    <row r="399" spans="1:9" x14ac:dyDescent="0.2">
      <c r="G399" t="str">
        <f t="shared" si="18"/>
        <v/>
      </c>
      <c r="H399" t="e">
        <f t="shared" si="19"/>
        <v>#VALUE!</v>
      </c>
      <c r="I399" t="str">
        <f t="shared" si="20"/>
        <v>00:30:28,216 --&gt; 00:30:32,016</v>
      </c>
    </row>
    <row r="400" spans="1:9" x14ac:dyDescent="0.2">
      <c r="A400" s="2" t="s">
        <v>260</v>
      </c>
      <c r="G400" t="str">
        <f t="shared" si="18"/>
        <v>00:30:28</v>
      </c>
      <c r="H400" t="str">
        <f t="shared" si="19"/>
        <v>00:30:32</v>
      </c>
      <c r="I400" t="str">
        <f t="shared" si="20"/>
        <v>احد يطلب مايك. </v>
      </c>
    </row>
    <row r="401" spans="1:9" x14ac:dyDescent="0.2">
      <c r="A401" s="3" t="s">
        <v>261</v>
      </c>
      <c r="G401" t="str">
        <f t="shared" si="18"/>
        <v>احد يطلب</v>
      </c>
      <c r="H401" t="e">
        <f t="shared" si="19"/>
        <v>#VALUE!</v>
      </c>
      <c r="I401">
        <f t="shared" si="20"/>
        <v>0</v>
      </c>
    </row>
    <row r="402" spans="1:9" x14ac:dyDescent="0.2">
      <c r="G402" t="str">
        <f t="shared" si="18"/>
        <v/>
      </c>
      <c r="H402" t="e">
        <f t="shared" si="19"/>
        <v>#VALUE!</v>
      </c>
      <c r="I402" t="str">
        <f t="shared" si="20"/>
        <v>00:30:32,016 --&gt; 00:30:33,616</v>
      </c>
    </row>
    <row r="403" spans="1:9" x14ac:dyDescent="0.2">
      <c r="A403" s="2" t="s">
        <v>262</v>
      </c>
      <c r="G403" t="str">
        <f t="shared" si="18"/>
        <v>00:30:32</v>
      </c>
      <c r="H403" t="str">
        <f t="shared" si="19"/>
        <v>00:30:33</v>
      </c>
      <c r="I403" t="str">
        <f t="shared" si="20"/>
        <v>طيب </v>
      </c>
    </row>
    <row r="404" spans="1:9" x14ac:dyDescent="0.2">
      <c r="A404" s="3" t="s">
        <v>263</v>
      </c>
      <c r="G404" t="str">
        <f t="shared" si="18"/>
        <v>طيب </v>
      </c>
      <c r="H404" t="e">
        <f t="shared" si="19"/>
        <v>#VALUE!</v>
      </c>
      <c r="I404">
        <f t="shared" si="20"/>
        <v>0</v>
      </c>
    </row>
    <row r="405" spans="1:9" x14ac:dyDescent="0.2">
      <c r="G405" t="str">
        <f t="shared" si="18"/>
        <v/>
      </c>
      <c r="H405" t="e">
        <f t="shared" si="19"/>
        <v>#VALUE!</v>
      </c>
      <c r="I405" t="str">
        <f t="shared" si="20"/>
        <v>00:30:33,656 --&gt; 00:30:39,335</v>
      </c>
    </row>
    <row r="406" spans="1:9" x14ac:dyDescent="0.2">
      <c r="A406" s="2" t="s">
        <v>264</v>
      </c>
      <c r="G406" t="str">
        <f t="shared" si="18"/>
        <v>00:30:33</v>
      </c>
      <c r="H406" t="str">
        <f t="shared" si="19"/>
        <v>00:30:39</v>
      </c>
      <c r="I406" t="str">
        <f t="shared" si="20"/>
        <v>جيم ما بيطلب فارس لا تفضل يا فارس بسرعة. </v>
      </c>
    </row>
    <row r="407" spans="1:9" x14ac:dyDescent="0.2">
      <c r="A407" s="3" t="s">
        <v>265</v>
      </c>
      <c r="G407" t="str">
        <f t="shared" si="18"/>
        <v>جيم ما ب</v>
      </c>
      <c r="H407" t="e">
        <f t="shared" si="19"/>
        <v>#VALUE!</v>
      </c>
      <c r="I407">
        <f t="shared" si="20"/>
        <v>0</v>
      </c>
    </row>
    <row r="408" spans="1:9" x14ac:dyDescent="0.2">
      <c r="G408" t="str">
        <f t="shared" si="18"/>
        <v/>
      </c>
      <c r="H408" t="e">
        <f t="shared" si="19"/>
        <v>#VALUE!</v>
      </c>
      <c r="I408" t="str">
        <f t="shared" si="20"/>
        <v>00:30:39,336 --&gt; 00:30:40,936</v>
      </c>
    </row>
    <row r="409" spans="1:9" x14ac:dyDescent="0.2">
      <c r="A409" s="2" t="s">
        <v>266</v>
      </c>
      <c r="G409" t="str">
        <f t="shared" si="18"/>
        <v>00:30:39</v>
      </c>
      <c r="H409" t="str">
        <f t="shared" si="19"/>
        <v>00:30:40</v>
      </c>
      <c r="I409" t="str">
        <f t="shared" si="20"/>
        <v>يا </v>
      </c>
    </row>
    <row r="410" spans="1:9" x14ac:dyDescent="0.2">
      <c r="A410" s="3" t="s">
        <v>267</v>
      </c>
      <c r="G410" t="str">
        <f t="shared" si="18"/>
        <v>يا </v>
      </c>
      <c r="H410" t="e">
        <f t="shared" si="19"/>
        <v>#VALUE!</v>
      </c>
      <c r="I410">
        <f t="shared" si="20"/>
        <v>0</v>
      </c>
    </row>
    <row r="411" spans="1:9" x14ac:dyDescent="0.2">
      <c r="G411" t="str">
        <f t="shared" si="18"/>
        <v/>
      </c>
      <c r="H411" t="e">
        <f t="shared" si="19"/>
        <v>#VALUE!</v>
      </c>
      <c r="I411" t="str">
        <f t="shared" si="20"/>
        <v>00:30:40,936 --&gt; 00:30:42,536</v>
      </c>
    </row>
    <row r="412" spans="1:9" x14ac:dyDescent="0.2">
      <c r="A412" s="2" t="s">
        <v>268</v>
      </c>
      <c r="G412" t="str">
        <f t="shared" si="18"/>
        <v>00:30:40</v>
      </c>
      <c r="H412" t="str">
        <f t="shared" si="19"/>
        <v>00:30:42</v>
      </c>
      <c r="I412" t="str">
        <f t="shared" si="20"/>
        <v>اخي </v>
      </c>
    </row>
    <row r="413" spans="1:9" x14ac:dyDescent="0.2">
      <c r="A413" s="3" t="s">
        <v>269</v>
      </c>
      <c r="G413" t="str">
        <f t="shared" si="18"/>
        <v>اخي </v>
      </c>
      <c r="H413" t="e">
        <f t="shared" si="19"/>
        <v>#VALUE!</v>
      </c>
      <c r="I413">
        <f t="shared" si="20"/>
        <v>0</v>
      </c>
    </row>
    <row r="414" spans="1:9" x14ac:dyDescent="0.2">
      <c r="G414" t="str">
        <f t="shared" si="18"/>
        <v/>
      </c>
      <c r="H414" t="e">
        <f t="shared" si="19"/>
        <v>#VALUE!</v>
      </c>
      <c r="I414" t="str">
        <f t="shared" si="20"/>
        <v>00:30:42,536 --&gt; 00:30:46,906</v>
      </c>
    </row>
    <row r="415" spans="1:9" x14ac:dyDescent="0.2">
      <c r="A415" s="2" t="s">
        <v>270</v>
      </c>
      <c r="G415" t="str">
        <f t="shared" si="18"/>
        <v>00:30:42</v>
      </c>
      <c r="H415" t="str">
        <f t="shared" si="19"/>
        <v>00:30:46</v>
      </c>
      <c r="I415" t="str">
        <f t="shared" si="20"/>
        <v>جربت الارقام يا استاذ. </v>
      </c>
    </row>
    <row r="416" spans="1:9" x14ac:dyDescent="0.2">
      <c r="A416" s="3" t="s">
        <v>271</v>
      </c>
      <c r="G416" t="str">
        <f t="shared" si="18"/>
        <v>جربت الا</v>
      </c>
      <c r="H416" t="e">
        <f t="shared" si="19"/>
        <v>#VALUE!</v>
      </c>
      <c r="I416">
        <f t="shared" si="20"/>
        <v>0</v>
      </c>
    </row>
    <row r="417" spans="1:9" x14ac:dyDescent="0.2">
      <c r="G417" t="str">
        <f t="shared" si="18"/>
        <v/>
      </c>
      <c r="H417" t="e">
        <f t="shared" si="19"/>
        <v>#VALUE!</v>
      </c>
      <c r="I417" t="str">
        <f t="shared" si="20"/>
        <v>00:30:46,906 --&gt; 00:31:13,896</v>
      </c>
    </row>
    <row r="418" spans="1:9" x14ac:dyDescent="0.2">
      <c r="A418" s="2" t="s">
        <v>272</v>
      </c>
      <c r="G418" t="str">
        <f t="shared" si="18"/>
        <v>00:30:46</v>
      </c>
      <c r="H418" t="str">
        <f t="shared" si="19"/>
        <v>00:31:13</v>
      </c>
      <c r="I418" t="str">
        <f t="shared" si="20"/>
        <v>جربت الارقام. ايوه ممتاز. اذا انت تبغا ايش طول القطر صح؟ ايوه الخيار الاول. الاول حطيت ذا واحد بالقطر بواحد. اذا هذا بواحد وهذا بواحد. ثلاثة. وهنا واحد. وهنا واحد اثنين ما تعطيني اربعة وعشرين. ولو جمعتهم وضربتهم في اثنين ما يعطوني عشرين. ممتاز. ايوه بعدها ايش سويت؟ </v>
      </c>
    </row>
    <row r="419" spans="1:9" x14ac:dyDescent="0.2">
      <c r="A419" s="3" t="s">
        <v>273</v>
      </c>
    </row>
    <row r="421" spans="1:9" x14ac:dyDescent="0.2">
      <c r="A421" s="2" t="s">
        <v>274</v>
      </c>
    </row>
    <row r="422" spans="1:9" x14ac:dyDescent="0.2">
      <c r="A422" s="3" t="s">
        <v>275</v>
      </c>
    </row>
    <row r="424" spans="1:9" x14ac:dyDescent="0.2">
      <c r="A424" s="2" t="s">
        <v>276</v>
      </c>
    </row>
    <row r="425" spans="1:9" x14ac:dyDescent="0.2">
      <c r="A425" s="3" t="s">
        <v>277</v>
      </c>
    </row>
    <row r="427" spans="1:9" x14ac:dyDescent="0.2">
      <c r="A427" s="2" t="s">
        <v>278</v>
      </c>
    </row>
    <row r="428" spans="1:9" x14ac:dyDescent="0.2">
      <c r="A428" s="3" t="s">
        <v>279</v>
      </c>
    </row>
    <row r="430" spans="1:9" x14ac:dyDescent="0.2">
      <c r="A430" s="2" t="s">
        <v>280</v>
      </c>
    </row>
    <row r="431" spans="1:9" x14ac:dyDescent="0.2">
      <c r="A431" s="3" t="s">
        <v>281</v>
      </c>
    </row>
    <row r="433" spans="1:1" x14ac:dyDescent="0.2">
      <c r="A433" s="2" t="s">
        <v>282</v>
      </c>
    </row>
    <row r="434" spans="1:1" x14ac:dyDescent="0.2">
      <c r="A434" s="3" t="s">
        <v>283</v>
      </c>
    </row>
    <row r="436" spans="1:1" x14ac:dyDescent="0.2">
      <c r="A436" s="2" t="s">
        <v>284</v>
      </c>
    </row>
    <row r="437" spans="1:1" x14ac:dyDescent="0.2">
      <c r="A437" s="3" t="s">
        <v>285</v>
      </c>
    </row>
    <row r="439" spans="1:1" x14ac:dyDescent="0.2">
      <c r="A439" s="2" t="s">
        <v>286</v>
      </c>
    </row>
    <row r="440" spans="1:1" x14ac:dyDescent="0.2">
      <c r="A440" s="3" t="s">
        <v>287</v>
      </c>
    </row>
    <row r="442" spans="1:1" x14ac:dyDescent="0.2">
      <c r="A442" s="2" t="s">
        <v>288</v>
      </c>
    </row>
    <row r="443" spans="1:1" x14ac:dyDescent="0.2">
      <c r="A443" s="3" t="s">
        <v>289</v>
      </c>
    </row>
    <row r="445" spans="1:1" x14ac:dyDescent="0.2">
      <c r="A445" s="2" t="s">
        <v>290</v>
      </c>
    </row>
    <row r="446" spans="1:1" x14ac:dyDescent="0.2">
      <c r="A446" s="3" t="s">
        <v>291</v>
      </c>
    </row>
    <row r="448" spans="1:1" x14ac:dyDescent="0.2">
      <c r="A448" s="2" t="s">
        <v>292</v>
      </c>
    </row>
    <row r="449" spans="1:1" x14ac:dyDescent="0.2">
      <c r="A449" s="3" t="s">
        <v>293</v>
      </c>
    </row>
    <row r="451" spans="1:1" x14ac:dyDescent="0.2">
      <c r="A451" s="2" t="s">
        <v>294</v>
      </c>
    </row>
    <row r="452" spans="1:1" x14ac:dyDescent="0.2">
      <c r="A452" s="3" t="s">
        <v>295</v>
      </c>
    </row>
    <row r="454" spans="1:1" x14ac:dyDescent="0.2">
      <c r="A454" s="2" t="s">
        <v>296</v>
      </c>
    </row>
    <row r="455" spans="1:1" x14ac:dyDescent="0.2">
      <c r="A455" s="3" t="s">
        <v>297</v>
      </c>
    </row>
    <row r="457" spans="1:1" x14ac:dyDescent="0.2">
      <c r="A457" s="2" t="s">
        <v>298</v>
      </c>
    </row>
    <row r="458" spans="1:1" x14ac:dyDescent="0.2">
      <c r="A458" s="3" t="s">
        <v>299</v>
      </c>
    </row>
    <row r="460" spans="1:1" x14ac:dyDescent="0.2">
      <c r="A460" s="2" t="s">
        <v>300</v>
      </c>
    </row>
    <row r="461" spans="1:1" x14ac:dyDescent="0.2">
      <c r="A461" s="3" t="s">
        <v>301</v>
      </c>
    </row>
    <row r="463" spans="1:1" x14ac:dyDescent="0.2">
      <c r="A463" s="2" t="s">
        <v>302</v>
      </c>
    </row>
    <row r="464" spans="1:1" x14ac:dyDescent="0.2">
      <c r="A464" s="3" t="s">
        <v>303</v>
      </c>
    </row>
    <row r="466" spans="1:1" x14ac:dyDescent="0.2">
      <c r="A466" s="2" t="s">
        <v>304</v>
      </c>
    </row>
    <row r="467" spans="1:1" x14ac:dyDescent="0.2">
      <c r="A467" s="3" t="s">
        <v>305</v>
      </c>
    </row>
    <row r="469" spans="1:1" x14ac:dyDescent="0.2">
      <c r="A469" s="2" t="s">
        <v>306</v>
      </c>
    </row>
    <row r="470" spans="1:1" x14ac:dyDescent="0.2">
      <c r="A470" s="3" t="s">
        <v>307</v>
      </c>
    </row>
    <row r="472" spans="1:1" x14ac:dyDescent="0.2">
      <c r="A472" s="2" t="s">
        <v>308</v>
      </c>
    </row>
    <row r="473" spans="1:1" x14ac:dyDescent="0.2">
      <c r="A473" s="3" t="s">
        <v>309</v>
      </c>
    </row>
    <row r="475" spans="1:1" x14ac:dyDescent="0.2">
      <c r="A475" s="2" t="s">
        <v>310</v>
      </c>
    </row>
    <row r="476" spans="1:1" x14ac:dyDescent="0.2">
      <c r="A476" s="3" t="s">
        <v>311</v>
      </c>
    </row>
    <row r="478" spans="1:1" x14ac:dyDescent="0.2">
      <c r="A478" s="2" t="s">
        <v>312</v>
      </c>
    </row>
    <row r="479" spans="1:1" x14ac:dyDescent="0.2">
      <c r="A479" s="3" t="s">
        <v>313</v>
      </c>
    </row>
    <row r="481" spans="1:1" x14ac:dyDescent="0.2">
      <c r="A481" s="2" t="s">
        <v>314</v>
      </c>
    </row>
    <row r="482" spans="1:1" x14ac:dyDescent="0.2">
      <c r="A482" s="3" t="s">
        <v>315</v>
      </c>
    </row>
    <row r="484" spans="1:1" x14ac:dyDescent="0.2">
      <c r="A484" s="2" t="s">
        <v>316</v>
      </c>
    </row>
    <row r="485" spans="1:1" x14ac:dyDescent="0.2">
      <c r="A485" s="3" t="s">
        <v>317</v>
      </c>
    </row>
    <row r="487" spans="1:1" x14ac:dyDescent="0.2">
      <c r="A487" s="2" t="s">
        <v>318</v>
      </c>
    </row>
    <row r="488" spans="1:1" x14ac:dyDescent="0.2">
      <c r="A488" s="3" t="s">
        <v>319</v>
      </c>
    </row>
    <row r="490" spans="1:1" x14ac:dyDescent="0.2">
      <c r="A490" s="2" t="s">
        <v>320</v>
      </c>
    </row>
    <row r="491" spans="1:1" x14ac:dyDescent="0.2">
      <c r="A491" s="3" t="s">
        <v>321</v>
      </c>
    </row>
    <row r="493" spans="1:1" x14ac:dyDescent="0.2">
      <c r="A493" s="2" t="s">
        <v>322</v>
      </c>
    </row>
    <row r="494" spans="1:1" x14ac:dyDescent="0.2">
      <c r="A494" s="3" t="s">
        <v>323</v>
      </c>
    </row>
    <row r="496" spans="1:1" x14ac:dyDescent="0.2">
      <c r="A496" s="2" t="s">
        <v>324</v>
      </c>
    </row>
    <row r="497" spans="1:1" x14ac:dyDescent="0.2">
      <c r="A497" s="3" t="s">
        <v>325</v>
      </c>
    </row>
    <row r="499" spans="1:1" x14ac:dyDescent="0.2">
      <c r="A499" s="2" t="s">
        <v>326</v>
      </c>
    </row>
    <row r="500" spans="1:1" x14ac:dyDescent="0.2">
      <c r="A500" s="3" t="s">
        <v>327</v>
      </c>
    </row>
    <row r="502" spans="1:1" x14ac:dyDescent="0.2">
      <c r="A502" s="2" t="s">
        <v>328</v>
      </c>
    </row>
    <row r="503" spans="1:1" x14ac:dyDescent="0.2">
      <c r="A503" s="3" t="s">
        <v>329</v>
      </c>
    </row>
    <row r="505" spans="1:1" x14ac:dyDescent="0.2">
      <c r="A505" s="2" t="s">
        <v>330</v>
      </c>
    </row>
    <row r="506" spans="1:1" x14ac:dyDescent="0.2">
      <c r="A506" s="3" t="s">
        <v>331</v>
      </c>
    </row>
    <row r="508" spans="1:1" x14ac:dyDescent="0.2">
      <c r="A508" s="2" t="s">
        <v>332</v>
      </c>
    </row>
    <row r="509" spans="1:1" x14ac:dyDescent="0.2">
      <c r="A509" s="3" t="s">
        <v>333</v>
      </c>
    </row>
    <row r="511" spans="1:1" x14ac:dyDescent="0.2">
      <c r="A511" s="2" t="s">
        <v>334</v>
      </c>
    </row>
    <row r="512" spans="1:1" x14ac:dyDescent="0.2">
      <c r="A512" s="3" t="s">
        <v>335</v>
      </c>
    </row>
    <row r="514" spans="1:1" x14ac:dyDescent="0.2">
      <c r="A514" s="2" t="s">
        <v>336</v>
      </c>
    </row>
    <row r="515" spans="1:1" x14ac:dyDescent="0.2">
      <c r="A515" s="3" t="s">
        <v>337</v>
      </c>
    </row>
    <row r="517" spans="1:1" x14ac:dyDescent="0.2">
      <c r="A517" s="2" t="s">
        <v>338</v>
      </c>
    </row>
    <row r="518" spans="1:1" x14ac:dyDescent="0.2">
      <c r="A518" s="3" t="s">
        <v>339</v>
      </c>
    </row>
    <row r="520" spans="1:1" x14ac:dyDescent="0.2">
      <c r="A520" s="2" t="s">
        <v>340</v>
      </c>
    </row>
    <row r="521" spans="1:1" x14ac:dyDescent="0.2">
      <c r="A521" s="3" t="s">
        <v>341</v>
      </c>
    </row>
    <row r="523" spans="1:1" x14ac:dyDescent="0.2">
      <c r="A523" s="2" t="s">
        <v>342</v>
      </c>
    </row>
    <row r="524" spans="1:1" x14ac:dyDescent="0.2">
      <c r="A524" s="3" t="s">
        <v>343</v>
      </c>
    </row>
    <row r="526" spans="1:1" x14ac:dyDescent="0.2">
      <c r="A526" s="2" t="s">
        <v>344</v>
      </c>
    </row>
    <row r="527" spans="1:1" x14ac:dyDescent="0.2">
      <c r="A527" s="3" t="s">
        <v>345</v>
      </c>
    </row>
    <row r="529" spans="1:1" x14ac:dyDescent="0.2">
      <c r="A529" s="2" t="s">
        <v>346</v>
      </c>
    </row>
    <row r="530" spans="1:1" x14ac:dyDescent="0.2">
      <c r="A530" s="3" t="s">
        <v>347</v>
      </c>
    </row>
    <row r="532" spans="1:1" x14ac:dyDescent="0.2">
      <c r="A532" s="2" t="s">
        <v>348</v>
      </c>
    </row>
    <row r="533" spans="1:1" x14ac:dyDescent="0.2">
      <c r="A533" s="3" t="s">
        <v>349</v>
      </c>
    </row>
    <row r="535" spans="1:1" x14ac:dyDescent="0.2">
      <c r="A535" s="2" t="s">
        <v>350</v>
      </c>
    </row>
    <row r="536" spans="1:1" x14ac:dyDescent="0.2">
      <c r="A536" s="3" t="s">
        <v>351</v>
      </c>
    </row>
    <row r="538" spans="1:1" x14ac:dyDescent="0.2">
      <c r="A538" s="2" t="s">
        <v>352</v>
      </c>
    </row>
    <row r="539" spans="1:1" x14ac:dyDescent="0.2">
      <c r="A539" s="3" t="s">
        <v>353</v>
      </c>
    </row>
    <row r="541" spans="1:1" x14ac:dyDescent="0.2">
      <c r="A541" s="2" t="s">
        <v>354</v>
      </c>
    </row>
    <row r="542" spans="1:1" x14ac:dyDescent="0.2">
      <c r="A542" s="3" t="s">
        <v>355</v>
      </c>
    </row>
    <row r="544" spans="1:1" x14ac:dyDescent="0.2">
      <c r="A544" s="2" t="s">
        <v>356</v>
      </c>
    </row>
    <row r="545" spans="1:1" x14ac:dyDescent="0.2">
      <c r="A545" s="3" t="s">
        <v>357</v>
      </c>
    </row>
    <row r="547" spans="1:1" x14ac:dyDescent="0.2">
      <c r="A547" s="2" t="s">
        <v>358</v>
      </c>
    </row>
    <row r="548" spans="1:1" x14ac:dyDescent="0.2">
      <c r="A548" s="3" t="s">
        <v>359</v>
      </c>
    </row>
    <row r="550" spans="1:1" x14ac:dyDescent="0.2">
      <c r="A550" s="2" t="s">
        <v>360</v>
      </c>
    </row>
    <row r="551" spans="1:1" x14ac:dyDescent="0.2">
      <c r="A551" s="3" t="s">
        <v>361</v>
      </c>
    </row>
    <row r="553" spans="1:1" x14ac:dyDescent="0.2">
      <c r="A553" s="2" t="s">
        <v>362</v>
      </c>
    </row>
    <row r="554" spans="1:1" x14ac:dyDescent="0.2">
      <c r="A554" s="3" t="s">
        <v>363</v>
      </c>
    </row>
    <row r="556" spans="1:1" x14ac:dyDescent="0.2">
      <c r="A556" s="2" t="s">
        <v>364</v>
      </c>
    </row>
    <row r="557" spans="1:1" x14ac:dyDescent="0.2">
      <c r="A557" s="3" t="s">
        <v>365</v>
      </c>
    </row>
    <row r="559" spans="1:1" x14ac:dyDescent="0.2">
      <c r="A559" s="2" t="s">
        <v>366</v>
      </c>
    </row>
    <row r="560" spans="1:1" x14ac:dyDescent="0.2">
      <c r="A560" s="3" t="s">
        <v>367</v>
      </c>
    </row>
    <row r="562" spans="1:1" x14ac:dyDescent="0.2">
      <c r="A562" s="2" t="s">
        <v>368</v>
      </c>
    </row>
    <row r="563" spans="1:1" x14ac:dyDescent="0.2">
      <c r="A563" s="3" t="s">
        <v>369</v>
      </c>
    </row>
    <row r="565" spans="1:1" x14ac:dyDescent="0.2">
      <c r="A565" s="2" t="s">
        <v>370</v>
      </c>
    </row>
    <row r="566" spans="1:1" x14ac:dyDescent="0.2">
      <c r="A566" s="3" t="s">
        <v>371</v>
      </c>
    </row>
    <row r="568" spans="1:1" x14ac:dyDescent="0.2">
      <c r="A568" s="2" t="s">
        <v>372</v>
      </c>
    </row>
    <row r="569" spans="1:1" x14ac:dyDescent="0.2">
      <c r="A569" s="3" t="s">
        <v>373</v>
      </c>
    </row>
    <row r="571" spans="1:1" x14ac:dyDescent="0.2">
      <c r="A571" s="2" t="s">
        <v>374</v>
      </c>
    </row>
    <row r="572" spans="1:1" x14ac:dyDescent="0.2">
      <c r="A572" s="3" t="s">
        <v>375</v>
      </c>
    </row>
    <row r="574" spans="1:1" x14ac:dyDescent="0.2">
      <c r="A574" s="2" t="s">
        <v>376</v>
      </c>
    </row>
    <row r="575" spans="1:1" x14ac:dyDescent="0.2">
      <c r="A575" s="3" t="s">
        <v>377</v>
      </c>
    </row>
    <row r="577" spans="1:1" x14ac:dyDescent="0.2">
      <c r="A577" s="2" t="s">
        <v>378</v>
      </c>
    </row>
    <row r="578" spans="1:1" x14ac:dyDescent="0.2">
      <c r="A578" s="3" t="s">
        <v>379</v>
      </c>
    </row>
    <row r="580" spans="1:1" x14ac:dyDescent="0.2">
      <c r="A580" s="2" t="s">
        <v>380</v>
      </c>
    </row>
    <row r="581" spans="1:1" x14ac:dyDescent="0.2">
      <c r="A581" s="3" t="s">
        <v>381</v>
      </c>
    </row>
    <row r="583" spans="1:1" x14ac:dyDescent="0.2">
      <c r="A583" s="2" t="s">
        <v>382</v>
      </c>
    </row>
    <row r="584" spans="1:1" x14ac:dyDescent="0.2">
      <c r="A584" s="3" t="s">
        <v>383</v>
      </c>
    </row>
    <row r="586" spans="1:1" x14ac:dyDescent="0.2">
      <c r="A586" s="2" t="s">
        <v>384</v>
      </c>
    </row>
    <row r="587" spans="1:1" x14ac:dyDescent="0.2">
      <c r="A587" s="3" t="s">
        <v>385</v>
      </c>
    </row>
    <row r="589" spans="1:1" x14ac:dyDescent="0.2">
      <c r="A589" s="2" t="s">
        <v>386</v>
      </c>
    </row>
    <row r="590" spans="1:1" x14ac:dyDescent="0.2">
      <c r="A590" s="3" t="s">
        <v>387</v>
      </c>
    </row>
    <row r="592" spans="1:1" x14ac:dyDescent="0.2">
      <c r="A592" s="2" t="s">
        <v>388</v>
      </c>
    </row>
    <row r="593" spans="1:1" x14ac:dyDescent="0.2">
      <c r="A593" s="3" t="s">
        <v>389</v>
      </c>
    </row>
    <row r="595" spans="1:1" x14ac:dyDescent="0.2">
      <c r="A595" s="2" t="s">
        <v>390</v>
      </c>
    </row>
    <row r="596" spans="1:1" x14ac:dyDescent="0.2">
      <c r="A596" s="3" t="s">
        <v>391</v>
      </c>
    </row>
    <row r="598" spans="1:1" x14ac:dyDescent="0.2">
      <c r="A598" s="2" t="s">
        <v>392</v>
      </c>
    </row>
    <row r="599" spans="1:1" x14ac:dyDescent="0.2">
      <c r="A599" s="3" t="s">
        <v>393</v>
      </c>
    </row>
    <row r="601" spans="1:1" x14ac:dyDescent="0.2">
      <c r="A601" s="2" t="s">
        <v>394</v>
      </c>
    </row>
    <row r="602" spans="1:1" x14ac:dyDescent="0.2">
      <c r="A602" s="3" t="s">
        <v>395</v>
      </c>
    </row>
    <row r="604" spans="1:1" x14ac:dyDescent="0.2">
      <c r="A604" s="2" t="s">
        <v>396</v>
      </c>
    </row>
    <row r="605" spans="1:1" x14ac:dyDescent="0.2">
      <c r="A605" s="3" t="s">
        <v>397</v>
      </c>
    </row>
    <row r="607" spans="1:1" x14ac:dyDescent="0.2">
      <c r="A607" s="2" t="s">
        <v>398</v>
      </c>
    </row>
    <row r="608" spans="1:1" x14ac:dyDescent="0.2">
      <c r="A608" s="3" t="s">
        <v>267</v>
      </c>
    </row>
    <row r="610" spans="1:1" x14ac:dyDescent="0.2">
      <c r="A610" s="2" t="s">
        <v>399</v>
      </c>
    </row>
    <row r="611" spans="1:1" x14ac:dyDescent="0.2">
      <c r="A611" s="3" t="s">
        <v>400</v>
      </c>
    </row>
    <row r="613" spans="1:1" x14ac:dyDescent="0.2">
      <c r="A613" s="2" t="s">
        <v>401</v>
      </c>
    </row>
    <row r="614" spans="1:1" x14ac:dyDescent="0.2">
      <c r="A614" s="3" t="s">
        <v>402</v>
      </c>
    </row>
    <row r="616" spans="1:1" x14ac:dyDescent="0.2">
      <c r="A616" s="2" t="s">
        <v>403</v>
      </c>
    </row>
    <row r="617" spans="1:1" x14ac:dyDescent="0.2">
      <c r="A617" s="3" t="s">
        <v>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D400E-AB05-FC43-B540-4F0B6E904CEC}">
  <dimension ref="A1:C365"/>
  <sheetViews>
    <sheetView workbookViewId="0">
      <selection activeCell="B3" sqref="B3"/>
    </sheetView>
  </sheetViews>
  <sheetFormatPr baseColWidth="10" defaultRowHeight="16" x14ac:dyDescent="0.2"/>
  <sheetData>
    <row r="1" spans="1:3" x14ac:dyDescent="0.2">
      <c r="A1" s="1" cm="1">
        <f t="array" ref="A1">INDEX(Sheet1!$G:$G, ROW()*3 - 2)+Sheet1!$F$2</f>
        <v>0.22971064814814815</v>
      </c>
      <c r="B1" s="1" cm="1">
        <f t="array" ref="B1">INDEX(Sheet1!$H:$H, ROW()*3 - 2)+Sheet1!$F$2</f>
        <v>0.22979166666666667</v>
      </c>
      <c r="C1" t="str" cm="1">
        <f t="array" ref="C1">INDEX(Sheet1!$I:$I, ROW()*3 - 2)</f>
        <v>الله. أعاده. عليكم السلام ورحمة الله وبركاته.</v>
      </c>
    </row>
    <row r="2" spans="1:3" x14ac:dyDescent="0.2">
      <c r="A2" s="1" cm="1">
        <f t="array" ref="A2">INDEX(Sheet1!$G:$G, ROW()*3 - 2)+Sheet1!$F$2</f>
        <v>0.22983796296296297</v>
      </c>
      <c r="B2" s="1" cm="1">
        <f t="array" ref="B2">INDEX(Sheet1!$H:$H, ROW()*3 - 2)+Sheet1!$F$2</f>
        <v>0.23002314814814814</v>
      </c>
      <c r="C2" t="str" cm="1">
        <f t="array" ref="C2">INDEX(Sheet1!$I:$I, ROW()*3 - 2)</f>
        <v> حياكم الله يا أحباب. وعليكم السلام ورحمة الله وبركاته. جمعة. يا الله. فيض بطل. </v>
      </c>
    </row>
    <row r="3" spans="1:3" x14ac:dyDescent="0.2">
      <c r="A3" s="1" cm="1">
        <f t="array" ref="A3">INDEX(Sheet1!$G:$G, ROW()*3 - 2)+Sheet1!$F$2</f>
        <v>0.2300462962962963</v>
      </c>
      <c r="B3" s="1" cm="1">
        <f t="array" ref="B3">INDEX(Sheet1!$H:$H, ROW()*3 - 2)+Sheet1!$F$2</f>
        <v>0.2301273148148148</v>
      </c>
      <c r="C3" t="str" cm="1">
        <f t="array" ref="C3">INDEX(Sheet1!$I:$I, ROW()*3 - 2)</f>
        <v>معي. وكذا. ان شاء الله. يضبط. ما هذا؟ الحد؟ الصفحة. مالك. </v>
      </c>
    </row>
    <row r="4" spans="1:3" x14ac:dyDescent="0.2">
      <c r="A4" s="1" cm="1">
        <f t="array" ref="A4">INDEX(Sheet1!$G:$G, ROW()*3 - 2)+Sheet1!$F$2</f>
        <v>0.23015046296296296</v>
      </c>
      <c r="B4" s="1" cm="1">
        <f t="array" ref="B4">INDEX(Sheet1!$H:$H, ROW()*3 - 2)+Sheet1!$F$2</f>
        <v>0.23019675925925925</v>
      </c>
      <c r="C4" t="str" cm="1">
        <f t="array" ref="C4">INDEX(Sheet1!$I:$I, ROW()*3 - 2)</f>
        <v>احنا نشرب. </v>
      </c>
    </row>
    <row r="5" spans="1:3" x14ac:dyDescent="0.2">
      <c r="A5" s="1" cm="1">
        <f t="array" ref="A5">INDEX(Sheet1!$G:$G, ROW()*3 - 2)+Sheet1!$F$2</f>
        <v>0.23019675925925925</v>
      </c>
      <c r="B5" s="1" cm="1">
        <f t="array" ref="B5">INDEX(Sheet1!$H:$H, ROW()*3 - 2)+Sheet1!$F$2</f>
        <v>0.23121527777777778</v>
      </c>
      <c r="C5" t="str" cm="1">
        <f t="array" ref="C5">INDEX(Sheet1!$I:$I, ROW()*3 - 2)</f>
        <v>الزوت. لا. الله اكبر. واحد. واحد. </v>
      </c>
    </row>
    <row r="6" spans="1:3" x14ac:dyDescent="0.2">
      <c r="A6" s="1" cm="1">
        <f t="array" ref="A6">INDEX(Sheet1!$G:$G, ROW()*3 - 2)+Sheet1!$F$2</f>
        <v>0.23121527777777778</v>
      </c>
      <c r="B6" s="1" cm="1">
        <f t="array" ref="B6">INDEX(Sheet1!$H:$H, ROW()*3 - 2)+Sheet1!$F$2</f>
        <v>0.23121527777777778</v>
      </c>
      <c r="C6" t="str" cm="1">
        <f t="array" ref="C6">INDEX(Sheet1!$I:$I, ROW()*3 - 2)</f>
        <v>واحد. </v>
      </c>
    </row>
    <row r="7" spans="1:3" x14ac:dyDescent="0.2">
      <c r="A7" s="1" cm="1">
        <f t="array" ref="A7">INDEX(Sheet1!$G:$G, ROW()*3 - 2)+Sheet1!$F$2</f>
        <v>0.23121527777777778</v>
      </c>
      <c r="B7" s="1" cm="1">
        <f t="array" ref="B7">INDEX(Sheet1!$H:$H, ROW()*3 - 2)+Sheet1!$F$2</f>
        <v>0.23121527777777778</v>
      </c>
      <c r="C7" t="str" cm="1">
        <f t="array" ref="C7">INDEX(Sheet1!$I:$I, ROW()*3 - 2)</f>
        <v>واحد. </v>
      </c>
    </row>
    <row r="8" spans="1:3" x14ac:dyDescent="0.2">
      <c r="A8" s="1" cm="1">
        <f t="array" ref="A8">INDEX(Sheet1!$G:$G, ROW()*3 - 2)+Sheet1!$F$2</f>
        <v>0.23121527777777778</v>
      </c>
      <c r="B8" s="1" cm="1">
        <f t="array" ref="B8">INDEX(Sheet1!$H:$H, ROW()*3 - 2)+Sheet1!$F$2</f>
        <v>0.23121527777777778</v>
      </c>
      <c r="C8" t="str" cm="1">
        <f t="array" ref="C8">INDEX(Sheet1!$I:$I, ROW()*3 - 2)</f>
        <v>واحد. </v>
      </c>
    </row>
    <row r="9" spans="1:3" x14ac:dyDescent="0.2">
      <c r="A9" s="1" cm="1">
        <f t="array" ref="A9">INDEX(Sheet1!$G:$G, ROW()*3 - 2)+Sheet1!$F$2</f>
        <v>0.23121527777777778</v>
      </c>
      <c r="B9" s="1" cm="1">
        <f t="array" ref="B9">INDEX(Sheet1!$H:$H, ROW()*3 - 2)+Sheet1!$F$2</f>
        <v>0.23121527777777778</v>
      </c>
      <c r="C9" t="str" cm="1">
        <f t="array" ref="C9">INDEX(Sheet1!$I:$I, ROW()*3 - 2)</f>
        <v>واحد. </v>
      </c>
    </row>
    <row r="10" spans="1:3" x14ac:dyDescent="0.2">
      <c r="A10" s="1" cm="1">
        <f t="array" ref="A10">INDEX(Sheet1!$G:$G, ROW()*3 - 2)+Sheet1!$F$2</f>
        <v>0.23121527777777778</v>
      </c>
      <c r="B10" s="1" cm="1">
        <f t="array" ref="B10">INDEX(Sheet1!$H:$H, ROW()*3 - 2)+Sheet1!$F$2</f>
        <v>0.23121527777777778</v>
      </c>
      <c r="C10" t="str" cm="1">
        <f t="array" ref="C10">INDEX(Sheet1!$I:$I, ROW()*3 - 2)</f>
        <v>واحد. واحد. </v>
      </c>
    </row>
    <row r="11" spans="1:3" x14ac:dyDescent="0.2">
      <c r="A11" s="1" cm="1">
        <f t="array" ref="A11">INDEX(Sheet1!$G:$G, ROW()*3 - 2)+Sheet1!$F$2</f>
        <v>0.23121527777777778</v>
      </c>
      <c r="B11" s="1" cm="1">
        <f t="array" ref="B11">INDEX(Sheet1!$H:$H, ROW()*3 - 2)+Sheet1!$F$2</f>
        <v>0.23121527777777778</v>
      </c>
      <c r="C11" t="str" cm="1">
        <f t="array" ref="C11">INDEX(Sheet1!$I:$I, ROW()*3 - 2)</f>
        <v>واحد. واحد. </v>
      </c>
    </row>
    <row r="12" spans="1:3" x14ac:dyDescent="0.2">
      <c r="A12" s="1" cm="1">
        <f t="array" ref="A12">INDEX(Sheet1!$G:$G, ROW()*3 - 2)+Sheet1!$F$2</f>
        <v>0.23121527777777778</v>
      </c>
      <c r="B12" s="1" cm="1">
        <f t="array" ref="B12">INDEX(Sheet1!$H:$H, ROW()*3 - 2)+Sheet1!$F$2</f>
        <v>0.23121527777777778</v>
      </c>
      <c r="C12" t="str" cm="1">
        <f t="array" ref="C12">INDEX(Sheet1!$I:$I, ROW()*3 - 2)</f>
        <v>واحد. واحد. واحد. </v>
      </c>
    </row>
    <row r="13" spans="1:3" x14ac:dyDescent="0.2">
      <c r="A13" s="1" cm="1">
        <f t="array" ref="A13">INDEX(Sheet1!$G:$G, ROW()*3 - 2)+Sheet1!$F$2</f>
        <v>0.23121527777777778</v>
      </c>
      <c r="B13" s="1" cm="1">
        <f t="array" ref="B13">INDEX(Sheet1!$H:$H, ROW()*3 - 2)+Sheet1!$F$2</f>
        <v>0.2313425925925926</v>
      </c>
      <c r="C13" t="str" cm="1">
        <f t="array" ref="C13">INDEX(Sheet1!$I:$I, ROW()*3 - 2)</f>
        <v>واحد. واحد. راح نبدأ ان شاء الله دقيقة بس. اقل من دقيقة ان شاء الله راح نبدأ بس ننتظر مزيد من الطلاب. الصوت ان شاء الله واضح الحين. </v>
      </c>
    </row>
    <row r="14" spans="1:3" x14ac:dyDescent="0.2">
      <c r="A14" s="1" cm="1">
        <f t="array" ref="A14">INDEX(Sheet1!$G:$G, ROW()*3 - 2)+Sheet1!$F$2</f>
        <v>0.2313425925925926</v>
      </c>
      <c r="B14" s="1" cm="1">
        <f t="array" ref="B14">INDEX(Sheet1!$H:$H, ROW()*3 - 2)+Sheet1!$F$2</f>
        <v>0.23144675925925925</v>
      </c>
      <c r="C14" t="str" cm="1">
        <f t="array" ref="C14">INDEX(Sheet1!$I:$I, ROW()*3 - 2)</f>
        <v>هو كذا بداية الحصة يا فارس لكن ياخذ وقت وتضبط الامور ان شاء الله. </v>
      </c>
    </row>
    <row r="15" spans="1:3" x14ac:dyDescent="0.2">
      <c r="A15" s="1" cm="1">
        <f t="array" ref="A15">INDEX(Sheet1!$G:$G, ROW()*3 - 2)+Sheet1!$F$2</f>
        <v>0.23144675925925925</v>
      </c>
      <c r="B15" s="1" cm="1">
        <f t="array" ref="B15">INDEX(Sheet1!$H:$H, ROW()*3 - 2)+Sheet1!$F$2</f>
        <v>0.2316087962962963</v>
      </c>
      <c r="C15" t="str" cm="1">
        <f t="array" ref="C15">INDEX(Sheet1!$I:$I, ROW()*3 - 2)</f>
        <v>ويمكن مع الغيم والمطر والجو الجميل. يمكن طول ويقطع اليوم. اشكركم على حضوركم. الله يعافيك يا فارس.</v>
      </c>
    </row>
    <row r="16" spans="1:3" x14ac:dyDescent="0.2">
      <c r="A16" s="1" cm="1">
        <f t="array" ref="A16">INDEX(Sheet1!$G:$G, ROW()*3 - 2)+Sheet1!$F$2</f>
        <v>0.23162037037037037</v>
      </c>
      <c r="B16" s="1" cm="1">
        <f t="array" ref="B16">INDEX(Sheet1!$H:$H, ROW()*3 - 2)+Sheet1!$F$2</f>
        <v>0.23188657407407406</v>
      </c>
      <c r="C16" t="str" cm="1">
        <f t="array" ref="C16">INDEX(Sheet1!$I:$I, ROW()*3 - 2)</f>
        <v> صبرتنا الله بالخير جميعا. السلام عليكم ورحمة الله وبركاته. حي الله الشباب الابطال. ابطال نون. </v>
      </c>
    </row>
    <row r="17" spans="1:3" x14ac:dyDescent="0.2">
      <c r="A17" s="1" cm="1">
        <f t="array" ref="A17">INDEX(Sheet1!$G:$G, ROW()*3 - 2)+Sheet1!$F$2</f>
        <v>0.23188657407407406</v>
      </c>
      <c r="B17" s="1" cm="1">
        <f t="array" ref="B17">INDEX(Sheet1!$H:$H, ROW()*3 - 2)+Sheet1!$F$2</f>
        <v>0.23195601851851852</v>
      </c>
      <c r="C17" t="str" cm="1">
        <f t="array" ref="C17">INDEX(Sheet1!$I:$I, ROW()*3 - 2)</f>
        <v>راح يكون درسنا اليوم عن الدائرة فيها بعض القوانين المكررة معكم ان شاء الله.</v>
      </c>
    </row>
    <row r="18" spans="1:3" x14ac:dyDescent="0.2">
      <c r="A18" s="1" cm="1">
        <f t="array" ref="A18">INDEX(Sheet1!$G:$G, ROW()*3 - 2)+Sheet1!$F$2</f>
        <v>0.23195601851851852</v>
      </c>
      <c r="B18" s="1" cm="1">
        <f t="array" ref="B18">INDEX(Sheet1!$H:$H, ROW()*3 - 2)+Sheet1!$F$2</f>
        <v>0.23226851851851851</v>
      </c>
      <c r="C18" t="str" cm="1">
        <f t="array" ref="C18">INDEX(Sheet1!$I:$I, ROW()*3 - 2)</f>
        <v>اه ان شاء الله. الدرس يكون سلس وسهل. احتاج منكم المشاركة. التفاعل. طبعا اليوم الحصة عن بعد تكون يعني المجموعات يعني ما في تعاون بين المجموعات. لكن ان شاء الله راح يكون التفاعل من خلال المايكات. انا ودي تطلبون مايكات ونناقش بعض الاسئلة دائما لما يكون في مناقشة تبيين بعض </v>
      </c>
    </row>
    <row r="19" spans="1:3" x14ac:dyDescent="0.2">
      <c r="A19" s="1" cm="1">
        <f t="array" ref="A19">INDEX(Sheet1!$G:$G, ROW()*3 - 2)+Sheet1!$F$2</f>
        <v>0.23226851851851851</v>
      </c>
      <c r="B19" s="1" cm="1">
        <f t="array" ref="B19">INDEX(Sheet1!$H:$H, ROW()*3 - 2)+Sheet1!$F$2</f>
        <v>0.23234953703703703</v>
      </c>
      <c r="C19" t="str" cm="1">
        <f t="array" ref="C19">INDEX(Sheet1!$I:$I, ROW()*3 - 2)</f>
        <v>مثلا المفاهيم الخاطئة. اه لا ما في حبر فيه مبارزة الفرق </v>
      </c>
    </row>
    <row r="20" spans="1:3" x14ac:dyDescent="0.2">
      <c r="A20" s="1" cm="1">
        <f t="array" ref="A20">INDEX(Sheet1!$G:$G, ROW()*3 - 2)+Sheet1!$F$2</f>
        <v>0.23234953703703703</v>
      </c>
      <c r="B20" s="1" cm="1">
        <f t="array" ref="B20">INDEX(Sheet1!$H:$H, ROW()*3 - 2)+Sheet1!$F$2</f>
        <v>0.23318287037037036</v>
      </c>
      <c r="C20" t="str" cm="1">
        <f t="array" ref="C20">INDEX(Sheet1!$I:$I, ROW()*3 - 2)</f>
        <v>في تدريبات جماعية لان ما في حبار. لكن عموما حتى لو كان في حبار يعني لما يكون ما في مجموعات فعالة. يعني راح نختصر الوقت ان شاء الله بالمناقشة عن طريق المايكات. بسم الله الرحمن الرحيم. نبدأ. حي الله الابطال. اليوم راح نراجع الدائرة. راح نراجع المستقيمات اللي في الدائرة مثل الوتر والقطر والمماس والزوايا ومحيط الدائرة ومساحتها والمضلعات في الدائرة زي المثلث والمربع لما يرسم داخل دائرة او يرسم خارج دائرة. فيه بعض العلاقات تنشأ بين هذه المضلعات والدائرة. اليوم ركزوا بس على اهم المستقيمات اللي داخل الدائرة. فيه مستقيم دائما نبحث عنه ويعني ما نقدر نحل الا من خلاله خاصة اذا كان السؤال عن مساحة او محيط وهي انصاف الاطار انصاف الاطار. ما هو نصف القطر؟ هو القطعة الواصلة بين مركز الدائرة الى الدائرة. </v>
      </c>
    </row>
    <row r="21" spans="1:3" x14ac:dyDescent="0.2">
      <c r="A21" s="1" cm="1">
        <f t="array" ref="A21">INDEX(Sheet1!$G:$G, ROW()*3 - 2)+Sheet1!$F$2</f>
        <v>0.23318287037037036</v>
      </c>
      <c r="B21" s="1" cm="1">
        <f t="array" ref="B21">INDEX(Sheet1!$H:$H, ROW()*3 - 2)+Sheet1!$F$2</f>
        <v>0.23320601851851852</v>
      </c>
      <c r="C21" t="str" cm="1">
        <f t="array" ref="C21">INDEX(Sheet1!$I:$I, ROW()*3 - 2)</f>
        <v>طيب ما هو؟ اه</v>
      </c>
    </row>
    <row r="22" spans="1:3" x14ac:dyDescent="0.2">
      <c r="A22" s="1" cm="1">
        <f t="array" ref="A22">INDEX(Sheet1!$G:$G, ROW()*3 - 2)+Sheet1!$F$2</f>
        <v>0.23322916666666665</v>
      </c>
      <c r="B22" s="1" cm="1">
        <f t="array" ref="B22">INDEX(Sheet1!$H:$H, ROW()*3 - 2)+Sheet1!$F$2</f>
        <v>0.2339236111111111</v>
      </c>
      <c r="C22" t="str" cm="1">
        <f t="array" ref="C22">INDEX(Sheet1!$I:$I, ROW()*3 - 2)</f>
        <v> ما هو الوتر؟ هو قطعة لا تمر بمركز الدائرة تلقاها تمر بين نقطتين على الدائرة. ما هو القطر؟ هو نقطة تصل من نقطة على الدائرة الى نقطة اخرى على الدائرة مرورا بالمركز. هذا هو القطر. طبعا نحن القطر نحتاجه في المحيط لان المحيط هو عبارة عن القطر في طاء. طيب نصف القطر متى نحتاجه؟ نحتاجه ايضا في المحيط. يمكن نقول اثنين نق اثنين نق في طاء. هذا يعطينا المحيط. طبعا اثنين نق اللي هو القطر. ايضا نحتاجه بشكل اساسي في المساحة في مساحة الدائرة. طيب ما هو المماس؟ المماس هو المستقيم المار على نقطة خارج يعني يمس الدائرة في نقطة على الدائرة. طيب ما علاقة المماس بالقطر دائما؟ اي نصف قطر </v>
      </c>
    </row>
    <row r="23" spans="1:3" x14ac:dyDescent="0.2">
      <c r="A23" s="1" cm="1">
        <f t="array" ref="A23">INDEX(Sheet1!$G:$G, ROW()*3 - 2)+Sheet1!$F$2</f>
        <v>0.2339236111111111</v>
      </c>
      <c r="B23" s="1" cm="1">
        <f t="array" ref="B23">INDEX(Sheet1!$H:$H, ROW()*3 - 2)+Sheet1!$F$2</f>
        <v>0.2341435185185185</v>
      </c>
      <c r="C23" t="str" cm="1">
        <f t="array" ref="C23">INDEX(Sheet1!$I:$I, ROW()*3 - 2)</f>
        <v>يلتقي مع المماس في النقطة اللي على الدائرة يشكلان زاوية قائمة. يعني يكونون متعامدان المماس للدائرة عمودي على قطرها في نقطة التماس. طيب هنا في بيجينا سؤال او سؤالين على هذي الخاصية. انتبهوا يا شباب </v>
      </c>
    </row>
    <row r="24" spans="1:3" x14ac:dyDescent="0.2">
      <c r="A24" s="1" cm="1">
        <f t="array" ref="A24">INDEX(Sheet1!$G:$G, ROW()*3 - 2)+Sheet1!$F$2</f>
        <v>0.2341435185185185</v>
      </c>
      <c r="B24" s="1" cm="1">
        <f t="array" ref="B24">INDEX(Sheet1!$H:$H, ROW()*3 - 2)+Sheet1!$F$2</f>
        <v>0.23444444444444443</v>
      </c>
      <c r="C24" t="str" cm="1">
        <f t="array" ref="C24">INDEX(Sheet1!$I:$I, ROW()*3 - 2)</f>
        <v>المماسان مرسومان من نفس النقطة يكونان متطابقان. المماسان مرسومان من نفس النقطة يكونان متطابقان. وهذه نشوفها ايضا بيكون عليها سؤال. طيب المستقيم الواصل من مركز الدائرة الى الوتر عموديا ينصف الوتر الى قطعتين متساويتين ينصف الوتر. </v>
      </c>
    </row>
    <row r="25" spans="1:3" x14ac:dyDescent="0.2">
      <c r="A25" s="1" cm="1">
        <f t="array" ref="A25">INDEX(Sheet1!$G:$G, ROW()*3 - 2)+Sheet1!$F$2</f>
        <v>0.23444444444444443</v>
      </c>
      <c r="B25" s="1" cm="1">
        <f t="array" ref="B25">INDEX(Sheet1!$H:$H, ROW()*3 - 2)+Sheet1!$F$2</f>
        <v>0.23471064814814815</v>
      </c>
      <c r="C25" t="str" cm="1">
        <f t="array" ref="C25">INDEX(Sheet1!$I:$I, ROW()*3 - 2)</f>
        <v>اذا اي وتر اي دائرة فيها وتر. لو رسمت قطعة عمودية ما هو نصف قطر النصف القطر لازم يوصل الى الدائرة. هذا ما وصل الى الدائرة. هذا قطعة من مركز الدائرة الى الوتر لكن عموديا فانه ينصف الوتر الى قطعتين متساويتين. </v>
      </c>
    </row>
    <row r="26" spans="1:3" x14ac:dyDescent="0.2">
      <c r="A26" s="1" cm="1">
        <f t="array" ref="A26">INDEX(Sheet1!$G:$G, ROW()*3 - 2)+Sheet1!$F$2</f>
        <v>0.23471064814814815</v>
      </c>
      <c r="B26" s="1" cm="1">
        <f t="array" ref="B26">INDEX(Sheet1!$H:$H, ROW()*3 - 2)+Sheet1!$F$2</f>
        <v>0.23481481481481481</v>
      </c>
      <c r="C26" t="str" cm="1">
        <f t="array" ref="C26">INDEX(Sheet1!$I:$I, ROW()*3 - 2)</f>
        <v>هذه ايضا قد نحتاج نبدأ تحقق من الفهم. بسم الله. </v>
      </c>
    </row>
    <row r="27" spans="1:3" x14ac:dyDescent="0.2">
      <c r="A27" s="1" cm="1">
        <f t="array" ref="A27">INDEX(Sheet1!$G:$G, ROW()*3 - 2)+Sheet1!$F$2</f>
        <v>0.23482638888888888</v>
      </c>
      <c r="B27" s="1" cm="1">
        <f t="array" ref="B27">INDEX(Sheet1!$H:$H, ROW()*3 - 2)+Sheet1!$F$2</f>
        <v>0.23527777777777778</v>
      </c>
      <c r="C27" t="str" cm="1">
        <f t="array" ref="C27">INDEX(Sheet1!$I:$I, ROW()*3 - 2)</f>
        <v>انتبهوا يا شباب. هذا السؤال. ايجاد المحيط. محيط المثلث هو مجموع اضلاعه. طيب يا استاذ، هل الاضلاع موجودة كاملة؟ لا نعطيك من كل ضلع قطعة. لكن تذكروا ان المماسان المنطلقان من نقطة واحدة متطابقان. المماسان المنطلقان من نقطة واحدة متطابقان. اذا اول شيء لازم تكمل اضلاع المثلث. لازم تكمل قياساتها بعدين تجمعها. ابغى احد يطلب مايك </v>
      </c>
    </row>
    <row r="28" spans="1:3" x14ac:dyDescent="0.2">
      <c r="A28" s="1" cm="1">
        <f t="array" ref="A28">INDEX(Sheet1!$G:$G, ROW()*3 - 2)+Sheet1!$F$2</f>
        <v>0.23527777777777778</v>
      </c>
      <c r="B28" s="1" cm="1">
        <f t="array" ref="B28">INDEX(Sheet1!$H:$H, ROW()*3 - 2)+Sheet1!$F$2</f>
        <v>0.23533564814814814</v>
      </c>
      <c r="C28" t="str" cm="1">
        <f t="array" ref="C28">INDEX(Sheet1!$I:$I, ROW()*3 - 2)</f>
        <v>من الان اربع اصوات صحيحة. </v>
      </c>
    </row>
    <row r="29" spans="1:3" x14ac:dyDescent="0.2">
      <c r="A29" s="1" cm="1">
        <f t="array" ref="A29">INDEX(Sheet1!$G:$G, ROW()*3 - 2)+Sheet1!$F$2</f>
        <v>0.23533564814814814</v>
      </c>
      <c r="B29" s="1" cm="1">
        <f t="array" ref="B29">INDEX(Sheet1!$H:$H, ROW()*3 - 2)+Sheet1!$F$2</f>
        <v>0.23559027777777777</v>
      </c>
      <c r="C29" t="str" cm="1">
        <f t="array" ref="C29">INDEX(Sheet1!$I:$I, ROW()*3 - 2)</f>
        <v>3 اصوات رجعت 4 اصوات. رجعت 3. 4. لكن الاغلبية للاسف اصوات خاطئة. يعطيكم العافية. ممتازين. احد يطلب مايك يا شباب؟ يلا عندي فارس. تفضل يا فارس. </v>
      </c>
    </row>
    <row r="30" spans="1:3" x14ac:dyDescent="0.2">
      <c r="A30" s="1" cm="1">
        <f t="array" ref="A30">INDEX(Sheet1!$G:$G, ROW()*3 - 2)+Sheet1!$F$2</f>
        <v>0.23559027777777777</v>
      </c>
      <c r="B30" s="1" cm="1">
        <f t="array" ref="B30">INDEX(Sheet1!$H:$H, ROW()*3 - 2)+Sheet1!$F$2</f>
        <v>0.23561342592592593</v>
      </c>
      <c r="C30" t="str" cm="1">
        <f t="array" ref="C30">INDEX(Sheet1!$I:$I, ROW()*3 - 2)</f>
        <v>يلا يا فاريس سلام عليكم. </v>
      </c>
    </row>
    <row r="31" spans="1:3" x14ac:dyDescent="0.2">
      <c r="A31" s="1" cm="1">
        <f t="array" ref="A31">INDEX(Sheet1!$G:$G, ROW()*3 - 2)+Sheet1!$F$2</f>
        <v>0.23561342592592593</v>
      </c>
      <c r="B31" s="1" cm="1">
        <f t="array" ref="B31">INDEX(Sheet1!$H:$H, ROW()*3 - 2)+Sheet1!$F$2</f>
        <v>0.23564814814814813</v>
      </c>
      <c r="C31" t="str" cm="1">
        <f t="array" ref="C31">INDEX(Sheet1!$I:$I, ROW()*3 - 2)</f>
        <v>عليكم السلام ورحمة الله وبركاته. </v>
      </c>
    </row>
    <row r="32" spans="1:3" x14ac:dyDescent="0.2">
      <c r="A32" s="1" cm="1">
        <f t="array" ref="A32">INDEX(Sheet1!$G:$G, ROW()*3 - 2)+Sheet1!$F$2</f>
        <v>0.23564814814814813</v>
      </c>
      <c r="B32" s="1" cm="1">
        <f t="array" ref="B32">INDEX(Sheet1!$H:$H, ROW()*3 - 2)+Sheet1!$F$2</f>
        <v>0.23583333333333334</v>
      </c>
      <c r="C32" t="str" cm="1">
        <f t="array" ref="C32">INDEX(Sheet1!$I:$I, ROW()*3 - 2)</f>
        <v>حليتها بالبركة قصدي بالبركة. قصدي شفت شفتها واحد واربعين اخترتها. بعدين يوم ما تتكلم قلت اه هو متطابق ضربت في اثنين طلع لي اثنين وثمانين. هذا بالحظ. </v>
      </c>
    </row>
    <row r="33" spans="1:3" x14ac:dyDescent="0.2">
      <c r="A33" s="1" cm="1">
        <f t="array" ref="A33">INDEX(Sheet1!$G:$G, ROW()*3 - 2)+Sheet1!$F$2</f>
        <v>0.23583333333333334</v>
      </c>
      <c r="B33" s="1" cm="1">
        <f t="array" ref="B33">INDEX(Sheet1!$H:$H, ROW()*3 - 2)+Sheet1!$F$2</f>
        <v>0.23584490740740741</v>
      </c>
      <c r="C33" t="str" cm="1">
        <f t="array" ref="C33">INDEX(Sheet1!$I:$I, ROW()*3 - 2)</f>
        <v>والله انك </v>
      </c>
    </row>
    <row r="34" spans="1:3" x14ac:dyDescent="0.2">
      <c r="A34" s="1" cm="1">
        <f t="array" ref="A34">INDEX(Sheet1!$G:$G, ROW()*3 - 2)+Sheet1!$F$2</f>
        <v>0.23584490740740741</v>
      </c>
      <c r="B34" s="1" cm="1">
        <f t="array" ref="B34">INDEX(Sheet1!$H:$H, ROW()*3 - 2)+Sheet1!$F$2</f>
        <v>0.2358912037037037</v>
      </c>
      <c r="C34" t="str" cm="1">
        <f t="array" ref="C34">INDEX(Sheet1!$I:$I, ROW()*3 - 2)</f>
        <v>بالحظ والبركة ولا استخدم شوي الذكاء. </v>
      </c>
    </row>
    <row r="35" spans="1:3" x14ac:dyDescent="0.2">
      <c r="A35" s="1" cm="1">
        <f t="array" ref="A35">INDEX(Sheet1!$G:$G, ROW()*3 - 2)+Sheet1!$F$2</f>
        <v>0.2358912037037037</v>
      </c>
      <c r="B35" s="1" cm="1">
        <f t="array" ref="B35">INDEX(Sheet1!$H:$H, ROW()*3 - 2)+Sheet1!$F$2</f>
        <v>0.23600694444444445</v>
      </c>
      <c r="C35" t="str" cm="1">
        <f t="array" ref="C35">INDEX(Sheet1!$I:$I, ROW()*3 - 2)</f>
        <v>والله بطل بطل والتركيز شاف التركيز. لما انا اعطيك تيسير في الحل ترى ركز لاني افتح لك ادراك اكثر يعني. ايوه طيب انت معاي. </v>
      </c>
    </row>
    <row r="36" spans="1:3" x14ac:dyDescent="0.2">
      <c r="A36" s="1" cm="1">
        <f t="array" ref="A36">INDEX(Sheet1!$G:$G, ROW()*3 - 2)+Sheet1!$F$2</f>
        <v>0.23600694444444445</v>
      </c>
      <c r="B36" s="1" cm="1">
        <f t="array" ref="B36">INDEX(Sheet1!$H:$H, ROW()*3 - 2)+Sheet1!$F$2</f>
        <v>0.23604166666666665</v>
      </c>
      <c r="C36" t="str" cm="1">
        <f t="array" ref="C36">INDEX(Sheet1!$I:$I, ROW()*3 - 2)</f>
        <v>سعداء. </v>
      </c>
    </row>
    <row r="37" spans="1:3" x14ac:dyDescent="0.2">
      <c r="A37" s="1" cm="1">
        <f t="array" ref="A37">INDEX(Sheet1!$G:$G, ROW()*3 - 2)+Sheet1!$F$2</f>
        <v>0.23604166666666665</v>
      </c>
      <c r="B37" s="1" cm="1">
        <f t="array" ref="B37">INDEX(Sheet1!$H:$H, ROW()*3 - 2)+Sheet1!$F$2</f>
        <v>0.23608796296296297</v>
      </c>
      <c r="C37" t="str" cm="1">
        <f t="array" ref="C37">INDEX(Sheet1!$I:$I, ROW()*3 - 2)</f>
        <v>خلك معي يا فارس. تسمعني. الو. يا فارس. </v>
      </c>
    </row>
    <row r="38" spans="1:3" x14ac:dyDescent="0.2">
      <c r="A38" s="1" cm="1">
        <f t="array" ref="A38">INDEX(Sheet1!$G:$G, ROW()*3 - 2)+Sheet1!$F$2</f>
        <v>0.23608796296296297</v>
      </c>
      <c r="B38" s="1" cm="1">
        <f t="array" ref="B38">INDEX(Sheet1!$H:$H, ROW()*3 - 2)+Sheet1!$F$2</f>
        <v>0.23609953703703704</v>
      </c>
      <c r="C38" t="str" cm="1">
        <f t="array" ref="C38">INDEX(Sheet1!$I:$I, ROW()*3 - 2)</f>
        <v>اسمعك. اسمعك. </v>
      </c>
    </row>
    <row r="39" spans="1:3" x14ac:dyDescent="0.2">
      <c r="A39" s="1" cm="1">
        <f t="array" ref="A39">INDEX(Sheet1!$G:$G, ROW()*3 - 2)+Sheet1!$F$2</f>
        <v>0.23609953703703704</v>
      </c>
      <c r="B39" s="1" cm="1">
        <f t="array" ref="B39">INDEX(Sheet1!$H:$H, ROW()*3 - 2)+Sheet1!$F$2</f>
        <v>0.23618055555555556</v>
      </c>
      <c r="C39" t="str" cm="1">
        <f t="array" ref="C39">INDEX(Sheet1!$I:$I, ROW()*3 - 2)</f>
        <v>صوتك. صوتك. راح. طيب. شوف لي هذي نقطة. صح؟ انطلق منها مماس. اوكي. </v>
      </c>
    </row>
    <row r="40" spans="1:3" x14ac:dyDescent="0.2">
      <c r="A40" s="1" cm="1">
        <f t="array" ref="A40">INDEX(Sheet1!$G:$G, ROW()*3 - 2)+Sheet1!$F$2</f>
        <v>0.23618055555555556</v>
      </c>
      <c r="B40" s="1" cm="1">
        <f t="array" ref="B40">INDEX(Sheet1!$H:$H, ROW()*3 - 2)+Sheet1!$F$2</f>
        <v>0.23621527777777779</v>
      </c>
      <c r="C40" t="str" cm="1">
        <f t="array" ref="C40">INDEX(Sheet1!$I:$I, ROW()*3 - 2)</f>
        <v>صح. واضح.</v>
      </c>
    </row>
    <row r="41" spans="1:3" x14ac:dyDescent="0.2">
      <c r="A41" s="1" cm="1">
        <f t="array" ref="A41">INDEX(Sheet1!$G:$G, ROW()*3 - 2)+Sheet1!$F$2</f>
        <v>0.23623842592592592</v>
      </c>
      <c r="B41" s="1" cm="1">
        <f t="array" ref="B41">INDEX(Sheet1!$H:$H, ROW()*3 - 2)+Sheet1!$F$2</f>
        <v>0.23633101851851851</v>
      </c>
      <c r="C41" t="str" cm="1">
        <f t="array" ref="C41">INDEX(Sheet1!$I:$I, ROW()*3 - 2)</f>
        <v>هذا واضح واضح. ايوه طيب ومن نفس النقطة مماس. ايش قلنا قبل قليل. المماسين ايش فيهم. </v>
      </c>
    </row>
    <row r="42" spans="1:3" x14ac:dyDescent="0.2">
      <c r="A42" s="1" cm="1">
        <f t="array" ref="A42">INDEX(Sheet1!$G:$G, ROW()*3 - 2)+Sheet1!$F$2</f>
        <v>0.23633101851851851</v>
      </c>
      <c r="B42" s="1" cm="1">
        <f t="array" ref="B42">INDEX(Sheet1!$H:$H, ROW()*3 - 2)+Sheet1!$F$2</f>
        <v>0.23635416666666667</v>
      </c>
      <c r="C42" t="str" cm="1">
        <f t="array" ref="C42">INDEX(Sheet1!$I:$I, ROW()*3 - 2)</f>
        <v>انه متساويين. </v>
      </c>
    </row>
    <row r="43" spans="1:3" x14ac:dyDescent="0.2">
      <c r="A43" s="1" cm="1">
        <f t="array" ref="A43">INDEX(Sheet1!$G:$G, ROW()*3 - 2)+Sheet1!$F$2</f>
        <v>0.23635416666666667</v>
      </c>
      <c r="B43" s="1" cm="1">
        <f t="array" ref="B43">INDEX(Sheet1!$H:$H, ROW()*3 - 2)+Sheet1!$F$2</f>
        <v>0.23644675925925926</v>
      </c>
      <c r="C43" t="str" cm="1">
        <f t="array" ref="C43">INDEX(Sheet1!$I:$I, ROW()*3 - 2)</f>
        <v>متطابقين. اي مماسات. اذا هذا 14. وهذا 14 صح. ايه </v>
      </c>
    </row>
    <row r="44" spans="1:3" x14ac:dyDescent="0.2">
      <c r="A44" s="1" cm="1">
        <f t="array" ref="A44">INDEX(Sheet1!$G:$G, ROW()*3 - 2)+Sheet1!$F$2</f>
        <v>0.23644675925925926</v>
      </c>
      <c r="B44" s="1" cm="1">
        <f t="array" ref="B44">INDEX(Sheet1!$H:$H, ROW()*3 - 2)+Sheet1!$F$2</f>
        <v>0.23652777777777778</v>
      </c>
      <c r="C44" t="str" cm="1">
        <f t="array" ref="C44">INDEX(Sheet1!$I:$I, ROW()*3 - 2)</f>
        <v>ممتاز. وهذا عندي هنا نقطة انطلق منها مماسان متطابقان. اذا هذا 10. هذا بيكون 10. </v>
      </c>
    </row>
    <row r="45" spans="1:3" x14ac:dyDescent="0.2">
      <c r="A45" s="1" cm="1">
        <f t="array" ref="A45">INDEX(Sheet1!$G:$G, ROW()*3 - 2)+Sheet1!$F$2</f>
        <v>0.23652777777777778</v>
      </c>
      <c r="B45" s="1" cm="1">
        <f t="array" ref="B45">INDEX(Sheet1!$H:$H, ROW()*3 - 2)+Sheet1!$F$2</f>
        <v>0.23652777777777778</v>
      </c>
      <c r="C45" t="str" cm="1">
        <f t="array" ref="C45">INDEX(Sheet1!$I:$I, ROW()*3 - 2)</f>
        <v>هذا 10. </v>
      </c>
    </row>
    <row r="46" spans="1:3" x14ac:dyDescent="0.2">
      <c r="A46" s="1" cm="1">
        <f t="array" ref="A46">INDEX(Sheet1!$G:$G, ROW()*3 - 2)+Sheet1!$F$2</f>
        <v>0.23652777777777778</v>
      </c>
      <c r="B46" s="1" cm="1">
        <f t="array" ref="B46">INDEX(Sheet1!$H:$H, ROW()*3 - 2)+Sheet1!$F$2</f>
        <v>0.23655092592592591</v>
      </c>
      <c r="C46" t="str" cm="1">
        <f t="array" ref="C46">INDEX(Sheet1!$I:$I, ROW()*3 - 2)</f>
        <v>وعندي نقطة </v>
      </c>
    </row>
    <row r="47" spans="1:3" x14ac:dyDescent="0.2">
      <c r="A47" s="1" cm="1">
        <f t="array" ref="A47">INDEX(Sheet1!$G:$G, ROW()*3 - 2)+Sheet1!$F$2</f>
        <v>0.23655092592592591</v>
      </c>
      <c r="B47" s="1" cm="1">
        <f t="array" ref="B47">INDEX(Sheet1!$H:$H, ROW()*3 - 2)+Sheet1!$F$2</f>
        <v>0.23709490740740741</v>
      </c>
      <c r="C47" t="str" cm="1">
        <f t="array" ref="C47">INDEX(Sheet1!$I:$I, ROW()*3 - 2)</f>
        <v>منهم مماسان متطابقان ايضا. اذا هذا يطابق هذا. اذا هذا 17. هذا 17 نفس ما سويته. تجمعها وتضربها في اثنين. لان عندي 10 مرتين وال 14 مرتين وال 17 مرتين فاجابتك صحيحة. فارس انت يوم قلت متطابقان جمعتهم ضربت في اثنين. ممتاز. زائد 14 زائد 17 يعطينا 41. طيب هذي ايش هذي؟ كل قطع لحالها طبعا نضربها في اثنين لان العشرة موجودة مرتين وال 14 مرتين وهكذا. اذا نضربها في اثنين يعطينا 82. هذه الاجابة الصحيحة واضح يا شباب تكتبون لي في الشات بيض على وجهك. يعطيك العافية. فارس شكرا لك </v>
      </c>
    </row>
    <row r="48" spans="1:3" x14ac:dyDescent="0.2">
      <c r="A48" s="1" cm="1">
        <f t="array" ref="A48">INDEX(Sheet1!$G:$G, ROW()*3 - 2)+Sheet1!$F$2</f>
        <v>0.23709490740740741</v>
      </c>
      <c r="B48" s="1" cm="1">
        <f t="array" ref="B48">INDEX(Sheet1!$H:$H, ROW()*3 - 2)+Sheet1!$F$2</f>
        <v>0.23715277777777777</v>
      </c>
      <c r="C48" t="str" cm="1">
        <f t="array" ref="C48">INDEX(Sheet1!$I:$I, ROW()*3 - 2)</f>
        <v>كفو يا فارس. </v>
      </c>
    </row>
    <row r="49" spans="1:3" x14ac:dyDescent="0.2">
      <c r="A49" s="1" cm="1">
        <f t="array" ref="A49">INDEX(Sheet1!$G:$G, ROW()*3 - 2)+Sheet1!$F$2</f>
        <v>0.23715277777777777</v>
      </c>
      <c r="B49" s="1" cm="1">
        <f t="array" ref="B49">INDEX(Sheet1!$H:$H, ROW()*3 - 2)+Sheet1!$F$2</f>
        <v>0.23791666666666667</v>
      </c>
      <c r="C49" t="str" cm="1">
        <f t="array" ref="C49">INDEX(Sheet1!$I:$I, ROW()*3 - 2)</f>
        <v>واضح يا شباب. ممتاز نمشي. طيب خلوكم معي هنا. عندنا الزاوية المحيطية والزاوية المركزية. ايش العلاقة بينهم؟ هذي دائرة عشان اوضحها لك اكثر. لو رسمت زاوية محيطية. قياس الزاوية المحيطية هي الزاوية التي ترسم يكون رأسها على محيط الدائرة ويقابلها قوس. هذا القوس. قياس الزاوية المحيطية. يعني لو قياس القوس 120. قياس الزاوية المحيطية اللي تقابلها بتكون 60 نص قياس القوس المقابل. طيب لو رسمنا من المركز زاوية مركزية على نفس القوس. قياس الزاوية المركزية تساوي قياس القوس المقابل لها. يعني قياس الزاوية المركزية هذي بتكون 120. اذا واضح تكتبون يا شباب. </v>
      </c>
    </row>
    <row r="50" spans="1:3" x14ac:dyDescent="0.2">
      <c r="A50" s="1" cm="1">
        <f t="array" ref="A50">INDEX(Sheet1!$G:$G, ROW()*3 - 2)+Sheet1!$F$2</f>
        <v>0.23791666666666667</v>
      </c>
      <c r="B50" s="1" cm="1">
        <f t="array" ref="B50">INDEX(Sheet1!$H:$H, ROW()*3 - 2)+Sheet1!$F$2</f>
        <v>0.23798611111111112</v>
      </c>
      <c r="C50" t="str" cm="1">
        <f t="array" ref="C50">INDEX(Sheet1!$I:$I, ROW()*3 - 2)</f>
        <v>واضح. مفهوم. حلو الكلام. </v>
      </c>
    </row>
    <row r="51" spans="1:3" x14ac:dyDescent="0.2">
      <c r="A51" s="1" cm="1">
        <f t="array" ref="A51">INDEX(Sheet1!$G:$G, ROW()*3 - 2)+Sheet1!$F$2</f>
        <v>0.23799768518518519</v>
      </c>
      <c r="B51" s="1" cm="1">
        <f t="array" ref="B51">INDEX(Sheet1!$H:$H, ROW()*3 - 2)+Sheet1!$F$2</f>
        <v>0.23833333333333334</v>
      </c>
      <c r="C51" t="str" cm="1">
        <f t="array" ref="C51">INDEX(Sheet1!$I:$I, ROW()*3 - 2)</f>
        <v>ممتاز. اذا نفرق بين الزاوية المحيطية والزاوية المركزية. الزاوية المحيطية دائما هي نصف الزاوية المركزية. الزاوية المحيطية هي نصف الزاوية المركزية التي مرسومة معها على نفس القوس. يلا نروح للي بعده. طيب عندي زاوية محيطية لكن رأساها قطر الدائرة. اذا كم القوس اللي مقابل لها؟ </v>
      </c>
    </row>
    <row r="52" spans="1:3" x14ac:dyDescent="0.2">
      <c r="A52" s="1" cm="1">
        <f t="array" ref="A52">INDEX(Sheet1!$G:$G, ROW()*3 - 2)+Sheet1!$F$2</f>
        <v>0.23834490740740741</v>
      </c>
      <c r="B52" s="1" cm="1">
        <f t="array" ref="B52">INDEX(Sheet1!$H:$H, ROW()*3 - 2)+Sheet1!$F$2</f>
        <v>0.23837962962962964</v>
      </c>
      <c r="C52" t="str" cm="1">
        <f t="array" ref="C52">INDEX(Sheet1!$I:$I, ROW()*3 - 2)</f>
        <v>كم القوس اللي يقابلها </v>
      </c>
    </row>
    <row r="53" spans="1:3" x14ac:dyDescent="0.2">
      <c r="A53" s="1" cm="1">
        <f t="array" ref="A53">INDEX(Sheet1!$G:$G, ROW()*3 - 2)+Sheet1!$F$2</f>
        <v>0.23837962962962964</v>
      </c>
      <c r="B53" s="1" cm="1">
        <f t="array" ref="B53">INDEX(Sheet1!$H:$H, ROW()*3 - 2)+Sheet1!$F$2</f>
        <v>0.23851851851851852</v>
      </c>
      <c r="C53" t="str" cm="1">
        <f t="array" ref="C53">INDEX(Sheet1!$I:$I, ROW()*3 - 2)</f>
        <v>نصف الدائرة اللي هو 180. قياس القوس 180. اذا الزاوية المحيطية في هذه الحالة ستكون زاوية قائمة. يعني قياسها 90. </v>
      </c>
    </row>
    <row r="54" spans="1:3" x14ac:dyDescent="0.2">
      <c r="A54" s="1" cm="1">
        <f t="array" ref="A54">INDEX(Sheet1!$G:$G, ROW()*3 - 2)+Sheet1!$F$2</f>
        <v>0.23851851851851852</v>
      </c>
      <c r="B54" s="1" cm="1">
        <f t="array" ref="B54">INDEX(Sheet1!$H:$H, ROW()*3 - 2)+Sheet1!$F$2</f>
        <v>0.23873842592592592</v>
      </c>
      <c r="C54" t="str" cm="1">
        <f t="array" ref="C54">INDEX(Sheet1!$I:$I, ROW()*3 - 2)</f>
        <v>انتبه يا عبد الله خلاص بتفهم في هذا. يا عبد الله. الزاوية المحيطية. الزاوية المحيطية المرسومة على نصف دائرة قياسها 90. ليه؟ لان القوس المقابل لها هو نصف الدائرة 180. وش قلنا؟ الزاوية المحيطية </v>
      </c>
    </row>
    <row r="55" spans="1:3" x14ac:dyDescent="0.2">
      <c r="A55" s="1" cm="1">
        <f t="array" ref="A55">INDEX(Sheet1!$G:$G, ROW()*3 - 2)+Sheet1!$F$2</f>
        <v>0.23873842592592592</v>
      </c>
      <c r="B55" s="1" cm="1">
        <f t="array" ref="B55">INDEX(Sheet1!$H:$H, ROW()*3 - 2)+Sheet1!$F$2</f>
        <v>0.23907407407407408</v>
      </c>
      <c r="C55" t="str" cm="1">
        <f t="array" ref="C55">INDEX(Sheet1!$I:$I, ROW()*3 - 2)</f>
        <v>دائما هي نصف قياس القوس المقابل لها. يعني لو القوس 60. الزاوية المحيطية 30. طيب لو في زاوية مركزية على نفس القوس يكون نفسه 60. فالزاوية المحيطية هي نصف الزاوية المركزية ونصف أيضا القوس المقابل لها. طيب هذه مهمة. هذه مهمة. الزاوية المحيطية التي على نصف دائرة </v>
      </c>
    </row>
    <row r="56" spans="1:3" x14ac:dyDescent="0.2">
      <c r="A56" s="1" cm="1">
        <f t="array" ref="A56">INDEX(Sheet1!$G:$G, ROW()*3 - 2)+Sheet1!$F$2</f>
        <v>0.23907407407407408</v>
      </c>
      <c r="B56" s="1" cm="1">
        <f t="array" ref="B56">INDEX(Sheet1!$H:$H, ROW()*3 - 2)+Sheet1!$F$2</f>
        <v>0.23914351851851851</v>
      </c>
      <c r="C56" t="str" cm="1">
        <f t="array" ref="C56">INDEX(Sheet1!$I:$I, ROW()*3 - 2)</f>
        <v>هي قياسها 90 زاوية قائمة. نروح للي بعده. </v>
      </c>
    </row>
    <row r="57" spans="1:3" x14ac:dyDescent="0.2">
      <c r="A57" s="1" cm="1">
        <f t="array" ref="A57">INDEX(Sheet1!$G:$G, ROW()*3 - 2)+Sheet1!$F$2</f>
        <v>0.2391550925925926</v>
      </c>
      <c r="B57" s="1" cm="1">
        <f t="array" ref="B57">INDEX(Sheet1!$H:$H, ROW()*3 - 2)+Sheet1!$F$2</f>
        <v>0.23930555555555555</v>
      </c>
      <c r="C57" t="str" cm="1">
        <f t="array" ref="C57">INDEX(Sheet1!$I:$I, ROW()*3 - 2)</f>
        <v>عندنا زاوية اسمها الزاوية المماسية وهذه فيها أسئلة كثيرة. ما هي الزاوية المماسية؟ أنا ارسمها لك هنا. لو عندي دائرة. </v>
      </c>
    </row>
    <row r="58" spans="1:3" x14ac:dyDescent="0.2">
      <c r="A58" s="1" cm="1">
        <f t="array" ref="A58">INDEX(Sheet1!$G:$G, ROW()*3 - 2)+Sheet1!$F$2</f>
        <v>0.23930555555555555</v>
      </c>
      <c r="B58" s="1" cm="1">
        <f t="array" ref="B58">INDEX(Sheet1!$H:$H, ROW()*3 - 2)+Sheet1!$F$2</f>
        <v>0.23935185185185184</v>
      </c>
      <c r="C58" t="str" cm="1">
        <f t="array" ref="C58">INDEX(Sheet1!$I:$I, ROW()*3 - 2)</f>
        <v>تمام. وهذا مركزها م. </v>
      </c>
    </row>
    <row r="59" spans="1:3" x14ac:dyDescent="0.2">
      <c r="A59" s="1" cm="1">
        <f t="array" ref="A59">INDEX(Sheet1!$G:$G, ROW()*3 - 2)+Sheet1!$F$2</f>
        <v>0.23935185185185184</v>
      </c>
      <c r="B59" s="1" cm="1">
        <f t="array" ref="B59">INDEX(Sheet1!$H:$H, ROW()*3 - 2)+Sheet1!$F$2</f>
        <v>0.23939814814814814</v>
      </c>
      <c r="C59" t="str" cm="1">
        <f t="array" ref="C59">INDEX(Sheet1!$I:$I, ROW()*3 - 2)</f>
        <v>ورسمت زاوية مماسية. يعني </v>
      </c>
    </row>
    <row r="60" spans="1:3" x14ac:dyDescent="0.2">
      <c r="A60" s="1" cm="1">
        <f t="array" ref="A60">INDEX(Sheet1!$G:$G, ROW()*3 - 2)+Sheet1!$F$2</f>
        <v>0.23939814814814814</v>
      </c>
      <c r="B60" s="1" cm="1">
        <f t="array" ref="B60">INDEX(Sheet1!$H:$H, ROW()*3 - 2)+Sheet1!$F$2</f>
        <v>0.23944444444444443</v>
      </c>
      <c r="C60" t="str" cm="1">
        <f t="array" ref="C60">INDEX(Sheet1!$I:$I, ROW()*3 - 2)</f>
        <v>بهذا الشكل. </v>
      </c>
    </row>
    <row r="61" spans="1:3" x14ac:dyDescent="0.2">
      <c r="A61" s="1" cm="1">
        <f t="array" ref="A61">INDEX(Sheet1!$G:$G, ROW()*3 - 2)+Sheet1!$F$2</f>
        <v>0.23944444444444443</v>
      </c>
      <c r="B61" s="1" cm="1">
        <f t="array" ref="B61">INDEX(Sheet1!$H:$H, ROW()*3 - 2)+Sheet1!$F$2</f>
        <v>0.23957175925925925</v>
      </c>
      <c r="C61" t="str" cm="1">
        <f t="array" ref="C61">INDEX(Sheet1!$I:$I, ROW()*3 - 2)</f>
        <v>يعني احد اضلاعها مماس. هذا مماس. والضلع الاخر وتر في الدائرة. شايفينها. اذا عندي هذه الزاوية اسمها زاوية </v>
      </c>
    </row>
    <row r="62" spans="1:3" x14ac:dyDescent="0.2">
      <c r="A62" s="1" cm="1">
        <f t="array" ref="A62">INDEX(Sheet1!$G:$G, ROW()*3 - 2)+Sheet1!$F$2</f>
        <v>0.23957175925925925</v>
      </c>
      <c r="B62" s="1" cm="1">
        <f t="array" ref="B62">INDEX(Sheet1!$H:$H, ROW()*3 - 2)+Sheet1!$F$2</f>
        <v>0.24008101851851851</v>
      </c>
      <c r="C62" t="str" cm="1">
        <f t="array" ref="C62">INDEX(Sheet1!$I:$I, ROW()*3 - 2)</f>
        <v>زاوية مماسية. طيب كيف اجيب قياسها؟ وش علاقتها بالدائرة يا استاذ؟ ركزوا معي. قياسها هي نصف القوس المرسومة عليه اللي عليه الوتر. شايفين الوتر هذا. الضلع الثاني قياسه هي نصف القوس. لا. الزاوية المماسية ما تكون قائمة الا لو كان ما هو وتر. كان نصف قطر. متى تكون الزاوية المماسية قائمة؟ اذا كان عندي مماس. والضلع الاخر نصف قطر. واضح يا كرم. والضلع الاخر نصف قطر. هنا تكون الزاوية المماسية قائمة. </v>
      </c>
    </row>
    <row r="63" spans="1:3" x14ac:dyDescent="0.2">
      <c r="A63" s="1" cm="1">
        <f t="array" ref="A63">INDEX(Sheet1!$G:$G, ROW()*3 - 2)+Sheet1!$F$2</f>
        <v>0.24009259259259258</v>
      </c>
      <c r="B63" s="1" cm="1">
        <f t="array" ref="B63">INDEX(Sheet1!$H:$H, ROW()*3 - 2)+Sheet1!$F$2</f>
        <v>0.24042824074074073</v>
      </c>
      <c r="C63" t="str" cm="1">
        <f t="array" ref="C63">INDEX(Sheet1!$I:$I, ROW()*3 - 2)</f>
        <v>لا. الزاوية المماسية ضلع منها خارج الدائرة التي هو المماس. وضلع منها هو وتر داخل الدائرة. طيب ايش علاقتها بالدائرة؟ القوس اللي مرسوم عليه الوتر. قياسه هو نصف نصفه هو قياس الزاوية المماسية. تمام. واضح يعني لو كان هذا القوس قياسه مثلا 80. كم قياس الزاوية؟ مثلا س هنا كم س تساوي. جاوبوا يا شباب.</v>
      </c>
    </row>
    <row r="64" spans="1:3" x14ac:dyDescent="0.2">
      <c r="A64" s="1" cm="1">
        <f t="array" ref="A64">INDEX(Sheet1!$G:$G, ROW()*3 - 2)+Sheet1!$F$2</f>
        <v>0.2404398148148148</v>
      </c>
      <c r="B64" s="1" cm="1">
        <f t="array" ref="B64">INDEX(Sheet1!$H:$H, ROW()*3 - 2)+Sheet1!$F$2</f>
        <v>0.2404398148148148</v>
      </c>
      <c r="C64" t="str" cm="1">
        <f t="array" ref="C64">INDEX(Sheet1!$I:$I, ROW()*3 - 2)</f>
        <v>ب 20. </v>
      </c>
    </row>
    <row r="65" spans="1:3" x14ac:dyDescent="0.2">
      <c r="A65" s="1" cm="1">
        <f t="array" ref="A65">INDEX(Sheet1!$G:$G, ROW()*3 - 2)+Sheet1!$F$2</f>
        <v>0.2404398148148148</v>
      </c>
      <c r="B65" s="1" cm="1">
        <f t="array" ref="B65">INDEX(Sheet1!$H:$H, ROW()*3 - 2)+Sheet1!$F$2</f>
        <v>0.24061342592592591</v>
      </c>
      <c r="C65" t="str" cm="1">
        <f t="array" ref="C65">INDEX(Sheet1!$I:$I, ROW()*3 - 2)</f>
        <v>كم. ممتاز. 40. طيب نبغى علاقة ثانية نربطها ببعض. لو فيه زاوية محيطية هنا. ركزوا معي على نفس القوس </v>
      </c>
    </row>
    <row r="66" spans="1:3" x14ac:dyDescent="0.2">
      <c r="A66" s="1" cm="1">
        <f t="array" ref="A66">INDEX(Sheet1!$G:$G, ROW()*3 - 2)+Sheet1!$F$2</f>
        <v>0.24061342592592591</v>
      </c>
      <c r="B66" s="1" cm="1">
        <f t="array" ref="B66">INDEX(Sheet1!$H:$H, ROW()*3 - 2)+Sheet1!$F$2</f>
        <v>0.2406712962962963</v>
      </c>
      <c r="C66" t="str" cm="1">
        <f t="array" ref="C66">INDEX(Sheet1!$I:$I, ROW()*3 - 2)</f>
        <v>كم بتكون لو قلنا هذي صاد كم صاد تساوي؟ </v>
      </c>
    </row>
    <row r="67" spans="1:3" x14ac:dyDescent="0.2">
      <c r="A67" s="1" cm="1">
        <f t="array" ref="A67">INDEX(Sheet1!$G:$G, ROW()*3 - 2)+Sheet1!$F$2</f>
        <v>0.2406712962962963</v>
      </c>
      <c r="B67" s="1" cm="1">
        <f t="array" ref="B67">INDEX(Sheet1!$H:$H, ROW()*3 - 2)+Sheet1!$F$2</f>
        <v>0.24071759259259259</v>
      </c>
      <c r="C67" t="str" cm="1">
        <f t="array" ref="C67">INDEX(Sheet1!$I:$I, ROW()*3 - 2)</f>
        <v>يلا يا شباب. </v>
      </c>
    </row>
    <row r="68" spans="1:3" x14ac:dyDescent="0.2">
      <c r="A68" s="1" cm="1">
        <f t="array" ref="A68">INDEX(Sheet1!$G:$G, ROW()*3 - 2)+Sheet1!$F$2</f>
        <v>0.24071759259259259</v>
      </c>
      <c r="B68" s="1" cm="1">
        <f t="array" ref="B68">INDEX(Sheet1!$H:$H, ROW()*3 - 2)+Sheet1!$F$2</f>
        <v>0.24096064814814813</v>
      </c>
      <c r="C68" t="str" cm="1">
        <f t="array" ref="C68">INDEX(Sheet1!$I:$I, ROW()*3 - 2)</f>
        <v>زاوية محيطية على نفس القوس حقت الزاوية المماسية. قلنا الزاوية المماسية هي المماس مع وتر. ايضا هذي بتكون 40. يعني استنتجنا شي ان الزاوية المحيطية تساوي الزاوية المماسية اللي على نفس القوس. اذا اوضحها هنا بشكل اكثر. ها؟ لو عندي </v>
      </c>
    </row>
    <row r="69" spans="1:3" x14ac:dyDescent="0.2">
      <c r="A69" s="1" cm="1">
        <f t="array" ref="A69">INDEX(Sheet1!$G:$G, ROW()*3 - 2)+Sheet1!$F$2</f>
        <v>0.24096064814814813</v>
      </c>
      <c r="B69" s="1" cm="1">
        <f t="array" ref="B69">INDEX(Sheet1!$H:$H, ROW()*3 - 2)+Sheet1!$F$2</f>
        <v>0.24099537037037036</v>
      </c>
      <c r="C69" t="str" cm="1">
        <f t="array" ref="C69">INDEX(Sheet1!$I:$I, ROW()*3 - 2)</f>
        <v>قوس. </v>
      </c>
    </row>
    <row r="70" spans="1:3" x14ac:dyDescent="0.2">
      <c r="A70" s="1" cm="1">
        <f t="array" ref="A70">INDEX(Sheet1!$G:$G, ROW()*3 - 2)+Sheet1!$F$2</f>
        <v>0.24099537037037036</v>
      </c>
      <c r="B70" s="1" cm="1">
        <f t="array" ref="B70">INDEX(Sheet1!$H:$H, ROW()*3 - 2)+Sheet1!$F$2</f>
        <v>0.24104166666666665</v>
      </c>
      <c r="C70" t="str" cm="1">
        <f t="array" ref="C70">INDEX(Sheet1!$I:$I, ROW()*3 - 2)</f>
        <v>رسمت عليه زاوية مماسية </v>
      </c>
    </row>
    <row r="71" spans="1:3" x14ac:dyDescent="0.2">
      <c r="A71" s="1" cm="1">
        <f t="array" ref="A71">INDEX(Sheet1!$G:$G, ROW()*3 - 2)+Sheet1!$F$2</f>
        <v>0.24104166666666665</v>
      </c>
      <c r="B71" s="1" cm="1">
        <f t="array" ref="B71">INDEX(Sheet1!$H:$H, ROW()*3 - 2)+Sheet1!$F$2</f>
        <v>0.24106481481481482</v>
      </c>
      <c r="C71" t="str" cm="1">
        <f t="array" ref="C71">INDEX(Sheet1!$I:$I, ROW()*3 - 2)</f>
        <v>ورسمت عليه </v>
      </c>
    </row>
    <row r="72" spans="1:3" x14ac:dyDescent="0.2">
      <c r="A72" s="1" cm="1">
        <f t="array" ref="A72">INDEX(Sheet1!$G:$G, ROW()*3 - 2)+Sheet1!$F$2</f>
        <v>0.24106481481481482</v>
      </c>
      <c r="B72" s="1" cm="1">
        <f t="array" ref="B72">INDEX(Sheet1!$H:$H, ROW()*3 - 2)+Sheet1!$F$2</f>
        <v>0.24111111111111111</v>
      </c>
      <c r="C72" t="str" cm="1">
        <f t="array" ref="C72">INDEX(Sheet1!$I:$I, ROW()*3 - 2)</f>
        <v>زاوية محيطية. </v>
      </c>
    </row>
    <row r="73" spans="1:3" x14ac:dyDescent="0.2">
      <c r="A73" s="1" cm="1">
        <f t="array" ref="A73">INDEX(Sheet1!$G:$G, ROW()*3 - 2)+Sheet1!$F$2</f>
        <v>0.24111111111111111</v>
      </c>
      <c r="B73" s="1" cm="1">
        <f t="array" ref="B73">INDEX(Sheet1!$H:$H, ROW()*3 - 2)+Sheet1!$F$2</f>
        <v>0.24134259259259258</v>
      </c>
      <c r="C73" t="str" cm="1">
        <f t="array" ref="C73">INDEX(Sheet1!$I:$I, ROW()*3 - 2)</f>
        <v>هذي زاوية مماسية وهذي زاوية محيطية. الزاويتين متطابقتين. الزاوية المماسية والمحيطة اللي على نفس القوس متطابقتين. طيب كم قياسهم قياسهم نصف القوس. نصف القوس هذا اتمنى انه يكون واضح. </v>
      </c>
    </row>
    <row r="74" spans="1:3" x14ac:dyDescent="0.2">
      <c r="A74" s="1" cm="1">
        <f t="array" ref="A74">INDEX(Sheet1!$G:$G, ROW()*3 - 2)+Sheet1!$F$2</f>
        <v>0.24134259259259258</v>
      </c>
      <c r="B74" s="1" cm="1">
        <f t="array" ref="B74">INDEX(Sheet1!$H:$H, ROW()*3 - 2)+Sheet1!$F$2</f>
        <v>0.2414236111111111</v>
      </c>
      <c r="C74" t="str" cm="1">
        <f t="array" ref="C74">INDEX(Sheet1!$I:$I, ROW()*3 - 2)</f>
        <v>ما فهمت ايش قصدك الثالث يا فارس. </v>
      </c>
    </row>
    <row r="75" spans="1:3" x14ac:dyDescent="0.2">
      <c r="A75" s="1" cm="1">
        <f t="array" ref="A75">INDEX(Sheet1!$G:$G, ROW()*3 - 2)+Sheet1!$F$2</f>
        <v>0.2414236111111111</v>
      </c>
      <c r="B75" s="1" cm="1">
        <f t="array" ref="B75">INDEX(Sheet1!$H:$H, ROW()*3 - 2)+Sheet1!$F$2</f>
        <v>0.24148148148148146</v>
      </c>
      <c r="C75" t="str" cm="1">
        <f t="array" ref="C75">INDEX(Sheet1!$I:$I, ROW()*3 - 2)</f>
        <v>يلا نروح نتحقق ونفهم. ما فهمت والله سؤالك يا فارس. </v>
      </c>
    </row>
    <row r="76" spans="1:3" x14ac:dyDescent="0.2">
      <c r="A76" s="1" cm="1">
        <f t="array" ref="A76">INDEX(Sheet1!$G:$G, ROW()*3 - 2)+Sheet1!$F$2</f>
        <v>0.24148148148148146</v>
      </c>
      <c r="B76" s="1" cm="1">
        <f t="array" ref="B76">INDEX(Sheet1!$H:$H, ROW()*3 - 2)+Sheet1!$F$2</f>
        <v>0.24151620370370369</v>
      </c>
      <c r="C76" t="str" cm="1">
        <f t="array" ref="C76">INDEX(Sheet1!$I:$I, ROW()*3 - 2)</f>
        <v>يلا يا شباب. </v>
      </c>
    </row>
    <row r="77" spans="1:3" x14ac:dyDescent="0.2">
      <c r="A77" s="1" cm="1">
        <f t="array" ref="A77">INDEX(Sheet1!$G:$G, ROW()*3 - 2)+Sheet1!$F$2</f>
        <v>0.24151620370370369</v>
      </c>
      <c r="B77" s="1" cm="1">
        <f t="array" ref="B77">INDEX(Sheet1!$H:$H, ROW()*3 - 2)+Sheet1!$F$2</f>
        <v>0.24157407407407408</v>
      </c>
      <c r="C77" t="str" cm="1">
        <f t="array" ref="C77">INDEX(Sheet1!$I:$I, ROW()*3 - 2)</f>
        <v>هذا على الزاوية المحيطية على نصف قطر.</v>
      </c>
    </row>
    <row r="78" spans="1:3" x14ac:dyDescent="0.2">
      <c r="A78" s="1" cm="1">
        <f t="array" ref="A78">INDEX(Sheet1!$G:$G, ROW()*3 - 2)+Sheet1!$F$2</f>
        <v>0.24159722222222221</v>
      </c>
      <c r="B78" s="1" cm="1">
        <f t="array" ref="B78">INDEX(Sheet1!$H:$H, ROW()*3 - 2)+Sheet1!$F$2</f>
        <v>0.24189814814814814</v>
      </c>
      <c r="C78" t="str" cm="1">
        <f t="array" ref="C78">INDEX(Sheet1!$I:$I, ROW()*3 - 2)</f>
        <v> يلا اللي حضروا معنا درس امس بيجاوبون هذا السؤال. مثلث فيثاغورس. </v>
      </c>
    </row>
    <row r="79" spans="1:3" x14ac:dyDescent="0.2">
      <c r="A79" s="1" cm="1">
        <f t="array" ref="A79">INDEX(Sheet1!$G:$G, ROW()*3 - 2)+Sheet1!$F$2</f>
        <v>0.24189814814814814</v>
      </c>
      <c r="B79" s="1" cm="1">
        <f t="array" ref="B79">INDEX(Sheet1!$H:$H, ROW()*3 - 2)+Sheet1!$F$2</f>
        <v>0.24197916666666666</v>
      </c>
      <c r="C79" t="str" cm="1">
        <f t="array" ref="C79">INDEX(Sheet1!$I:$I, ROW()*3 - 2)</f>
        <v>مثلث فيثاغورس.</v>
      </c>
    </row>
    <row r="80" spans="1:3" x14ac:dyDescent="0.2">
      <c r="A80" s="1" cm="1">
        <f t="array" ref="A80">INDEX(Sheet1!$G:$G, ROW()*3 - 2)+Sheet1!$F$2</f>
        <v>0.24202546296296296</v>
      </c>
      <c r="B80" s="1" cm="1">
        <f t="array" ref="B80">INDEX(Sheet1!$H:$H, ROW()*3 - 2)+Sheet1!$F$2</f>
        <v>0.24208333333333332</v>
      </c>
      <c r="C80" t="str" cm="1">
        <f t="array" ref="C80">INDEX(Sheet1!$I:$I, ROW()*3 - 2)</f>
        <v> مثلث فيثاغورس المشهور. </v>
      </c>
    </row>
    <row r="81" spans="1:3" x14ac:dyDescent="0.2">
      <c r="A81" s="1" cm="1">
        <f t="array" ref="A81">INDEX(Sheet1!$G:$G, ROW()*3 - 2)+Sheet1!$F$2</f>
        <v>0.24208333333333332</v>
      </c>
      <c r="B81" s="1" cm="1">
        <f t="array" ref="B81">INDEX(Sheet1!$H:$H, ROW()*3 - 2)+Sheet1!$F$2</f>
        <v>0.24210648148148148</v>
      </c>
      <c r="C81" t="str" cm="1">
        <f t="array" ref="C81">INDEX(Sheet1!$I:$I, ROW()*3 - 2)</f>
        <v>احد يطلب استايج يا شباب </v>
      </c>
    </row>
    <row r="82" spans="1:3" x14ac:dyDescent="0.2">
      <c r="A82" s="1" cm="1">
        <f t="array" ref="A82">INDEX(Sheet1!$G:$G, ROW()*3 - 2)+Sheet1!$F$2</f>
        <v>0.24211805555555554</v>
      </c>
      <c r="B82" s="1" cm="1">
        <f t="array" ref="B82">INDEX(Sheet1!$H:$H, ROW()*3 - 2)+Sheet1!$F$2</f>
        <v>0.24233796296296295</v>
      </c>
      <c r="C82" t="str" cm="1">
        <f t="array" ref="C82">INDEX(Sheet1!$I:$I, ROW()*3 - 2)</f>
        <v>تطلب مايك. يعطيكم العافية. اشكركم. يلا نروح للسؤال. فارس طلع. يلا يا كرم. يلا يا كرم. اتفضل يا كرم سريعا. </v>
      </c>
    </row>
    <row r="83" spans="1:3" x14ac:dyDescent="0.2">
      <c r="A83" s="1" cm="1">
        <f t="array" ref="A83">INDEX(Sheet1!$G:$G, ROW()*3 - 2)+Sheet1!$F$2</f>
        <v>0.24233796296296295</v>
      </c>
      <c r="B83" s="1" cm="1">
        <f t="array" ref="B83">INDEX(Sheet1!$H:$H, ROW()*3 - 2)+Sheet1!$F$2</f>
        <v>0.24234953703703704</v>
      </c>
      <c r="C83" t="str" cm="1">
        <f t="array" ref="C83">INDEX(Sheet1!$I:$I, ROW()*3 - 2)</f>
        <v>السلام عليكم اساتذة. </v>
      </c>
    </row>
    <row r="84" spans="1:3" x14ac:dyDescent="0.2">
      <c r="A84" s="1" cm="1">
        <f t="array" ref="A84">INDEX(Sheet1!$G:$G, ROW()*3 - 2)+Sheet1!$F$2</f>
        <v>0.24234953703703704</v>
      </c>
      <c r="B84" s="1" cm="1">
        <f t="array" ref="B84">INDEX(Sheet1!$H:$H, ROW()*3 - 2)+Sheet1!$F$2</f>
        <v>0.24237268518518518</v>
      </c>
      <c r="C84" t="str" cm="1">
        <f t="array" ref="C84">INDEX(Sheet1!$I:$I, ROW()*3 - 2)</f>
        <v>عليكم السلام. حياك الله يا كرم. اتفضل. </v>
      </c>
    </row>
    <row r="85" spans="1:3" x14ac:dyDescent="0.2">
      <c r="A85" s="1" cm="1">
        <f t="array" ref="A85">INDEX(Sheet1!$G:$G, ROW()*3 - 2)+Sheet1!$F$2</f>
        <v>0.24237268518518518</v>
      </c>
      <c r="B85" s="1" cm="1">
        <f t="array" ref="B85">INDEX(Sheet1!$H:$H, ROW()*3 - 2)+Sheet1!$F$2</f>
        <v>0.24243055555555554</v>
      </c>
      <c r="C85" t="str" cm="1">
        <f t="array" ref="C85">INDEX(Sheet1!$I:$I, ROW()*3 - 2)</f>
        <v>المثلث الفيثاغورس يكون خمسة ثلاثة اربعة. </v>
      </c>
    </row>
    <row r="86" spans="1:3" x14ac:dyDescent="0.2">
      <c r="A86" s="1" cm="1">
        <f t="array" ref="A86">INDEX(Sheet1!$G:$G, ROW()*3 - 2)+Sheet1!$F$2</f>
        <v>0.24243055555555554</v>
      </c>
      <c r="B86" s="1" cm="1">
        <f t="array" ref="B86">INDEX(Sheet1!$H:$H, ROW()*3 - 2)+Sheet1!$F$2</f>
        <v>0.24255787037037035</v>
      </c>
      <c r="C86" t="str" cm="1">
        <f t="array" ref="C86">INDEX(Sheet1!$I:$I, ROW()*3 - 2)</f>
        <v>طيب ليه اوقف عطني مبرر ليه استخدمت فيثاغورس؟ هل المثلث قائم الزاوية؟ هل على قال ان المثلث قائم الزاوية؟ ايش قال هو؟ </v>
      </c>
    </row>
    <row r="87" spans="1:3" x14ac:dyDescent="0.2">
      <c r="A87" s="1" cm="1">
        <f t="array" ref="A87">INDEX(Sheet1!$G:$G, ROW()*3 - 2)+Sheet1!$F$2</f>
        <v>0.24255787037037035</v>
      </c>
      <c r="B87" s="1" cm="1">
        <f t="array" ref="B87">INDEX(Sheet1!$H:$H, ROW()*3 - 2)+Sheet1!$F$2</f>
        <v>0.24259259259259258</v>
      </c>
      <c r="C87" t="str" cm="1">
        <f t="array" ref="C87">INDEX(Sheet1!$I:$I, ROW()*3 - 2)</f>
        <v>هذا نصف قطر الدائرة. </v>
      </c>
    </row>
    <row r="88" spans="1:3" x14ac:dyDescent="0.2">
      <c r="A88" s="1" cm="1">
        <f t="array" ref="A88">INDEX(Sheet1!$G:$G, ROW()*3 - 2)+Sheet1!$F$2</f>
        <v>0.24259259259259258</v>
      </c>
      <c r="B88" s="1" cm="1">
        <f t="array" ref="B88">INDEX(Sheet1!$H:$H, ROW()*3 - 2)+Sheet1!$F$2</f>
        <v>0.24273148148148146</v>
      </c>
      <c r="C88" t="str" cm="1">
        <f t="array" ref="C88">INDEX(Sheet1!$I:$I, ROW()*3 - 2)</f>
        <v>ممتاز انا عندي زاوية محيطية صح؟ على النصف. على. على قطر الدائرة او ممتاز على قطر الدائرة او على نصف الدائرة. اذا المثلث هذا قائم. </v>
      </c>
    </row>
    <row r="89" spans="1:3" x14ac:dyDescent="0.2">
      <c r="A89" s="1" cm="1">
        <f t="array" ref="A89">INDEX(Sheet1!$G:$G, ROW()*3 - 2)+Sheet1!$F$2</f>
        <v>0.24273148148148146</v>
      </c>
      <c r="B89" s="1" cm="1">
        <f t="array" ref="B89">INDEX(Sheet1!$H:$H, ROW()*3 - 2)+Sheet1!$F$2</f>
        <v>0.24273148148148146</v>
      </c>
      <c r="C89" t="str" cm="1">
        <f t="array" ref="C89">INDEX(Sheet1!$I:$I, ROW()*3 - 2)</f>
        <v>قائم </v>
      </c>
    </row>
    <row r="90" spans="1:3" x14ac:dyDescent="0.2">
      <c r="A90" s="1" cm="1">
        <f t="array" ref="A90">INDEX(Sheet1!$G:$G, ROW()*3 - 2)+Sheet1!$F$2</f>
        <v>0.24273148148148146</v>
      </c>
      <c r="B90" s="1" cm="1">
        <f t="array" ref="B90">INDEX(Sheet1!$H:$H, ROW()*3 - 2)+Sheet1!$F$2</f>
        <v>0.24282407407407408</v>
      </c>
      <c r="C90" t="str" cm="1">
        <f t="array" ref="C90">INDEX(Sheet1!$I:$I, ROW()*3 - 2)</f>
        <v>الزاوية ممتاز. عندي هذي الضلعين القائمين كاني ابغى اجيب الوتر صح ولا لا؟ ايوه كم </v>
      </c>
    </row>
    <row r="91" spans="1:3" x14ac:dyDescent="0.2">
      <c r="A91" s="1" cm="1">
        <f t="array" ref="A91">INDEX(Sheet1!$G:$G, ROW()*3 - 2)+Sheet1!$F$2</f>
        <v>0.24282407407407408</v>
      </c>
      <c r="B91" s="1" cm="1">
        <f t="array" ref="B91">INDEX(Sheet1!$H:$H, ROW()*3 - 2)+Sheet1!$F$2</f>
        <v>0.24287037037037038</v>
      </c>
      <c r="C91" t="str" cm="1">
        <f t="array" ref="C91">INDEX(Sheet1!$I:$I, ROW()*3 - 2)</f>
        <v>يساوي. </v>
      </c>
    </row>
    <row r="92" spans="1:3" x14ac:dyDescent="0.2">
      <c r="A92" s="1" cm="1">
        <f t="array" ref="A92">INDEX(Sheet1!$G:$G, ROW()*3 - 2)+Sheet1!$F$2</f>
        <v>0.24287037037037038</v>
      </c>
      <c r="B92" s="1" cm="1">
        <f t="array" ref="B92">INDEX(Sheet1!$H:$H, ROW()*3 - 2)+Sheet1!$F$2</f>
        <v>0.24339120370370371</v>
      </c>
      <c r="C92" t="str" cm="1">
        <f t="array" ref="C92">INDEX(Sheet1!$I:$I, ROW()*3 - 2)</f>
        <v>ممتاز. يساوي الجذر التربيعي الستة وثلاثين زائد اربعة وستين اللي هو اربع الضلعين هذه واجمعهم تحت الجذر يساوي جذر مئة يساوي عشرة. طيب استاذ لازم استخدم فيثاغورس اذا ما تعرف المثلثات الخاصة او المشهورة. هذا المثلث اللي تعرفونه. ثلاثة. اربعة. خمسة. صح. صح. ايوه. جميل. ثلاثة. اربعة. خمسة. طيب لو خل هذا ستة. وهذا ثمانية. اذا هذا عشرة. وهكذا. لو خل هذا مثلا تسعة. وهذا 12. اذا هذا بكون خمسطعش. هذا المثلث المشهور. طيب انا ايش جبت الحين يا كرم. الالف باء صح. </v>
      </c>
    </row>
    <row r="93" spans="1:3" x14ac:dyDescent="0.2">
      <c r="A93" s="1" cm="1">
        <f t="array" ref="A93">INDEX(Sheet1!$G:$G, ROW()*3 - 2)+Sheet1!$F$2</f>
        <v>0.24339120370370371</v>
      </c>
      <c r="B93" s="1" cm="1">
        <f t="array" ref="B93">INDEX(Sheet1!$H:$H, ROW()*3 - 2)+Sheet1!$F$2</f>
        <v>0.24341435185185184</v>
      </c>
      <c r="C93" t="str" cm="1">
        <f t="array" ref="C93">INDEX(Sheet1!$I:$I, ROW()*3 - 2)</f>
        <v>طول الوتر عشرة اللي هو الف باء </v>
      </c>
    </row>
    <row r="94" spans="1:3" x14ac:dyDescent="0.2">
      <c r="A94" s="1" cm="1">
        <f t="array" ref="A94">INDEX(Sheet1!$G:$G, ROW()*3 - 2)+Sheet1!$F$2</f>
        <v>0.24341435185185184</v>
      </c>
      <c r="B94" s="1" cm="1">
        <f t="array" ref="B94">INDEX(Sheet1!$H:$H, ROW()*3 - 2)+Sheet1!$F$2</f>
        <v>0.24349537037037036</v>
      </c>
      <c r="C94" t="str" cm="1">
        <f t="array" ref="C94">INDEX(Sheet1!$I:$I, ROW()*3 - 2)</f>
        <v>مش الوتر ايش اسمه القطر صح؟ قطر بس ايش يبغاه؟ ايش يبغى؟ ايش يبغى؟ </v>
      </c>
    </row>
    <row r="95" spans="1:3" x14ac:dyDescent="0.2">
      <c r="A95" s="1" cm="1">
        <f t="array" ref="A95">INDEX(Sheet1!$G:$G, ROW()*3 - 2)+Sheet1!$F$2</f>
        <v>0.24349537037037036</v>
      </c>
      <c r="B95" s="1" cm="1">
        <f t="array" ref="B95">INDEX(Sheet1!$H:$H, ROW()*3 - 2)+Sheet1!$F$2</f>
        <v>0.24351851851851852</v>
      </c>
      <c r="C95" t="str" cm="1">
        <f t="array" ref="C95">INDEX(Sheet1!$I:$I, ROW()*3 - 2)</f>
        <v>نصف القطر. </v>
      </c>
    </row>
    <row r="96" spans="1:3" x14ac:dyDescent="0.2">
      <c r="A96" s="1" cm="1">
        <f t="array" ref="A96">INDEX(Sheet1!$G:$G, ROW()*3 - 2)+Sheet1!$F$2</f>
        <v>0.24351851851851852</v>
      </c>
      <c r="B96" s="1" cm="1">
        <f t="array" ref="B96">INDEX(Sheet1!$H:$H, ROW()*3 - 2)+Sheet1!$F$2</f>
        <v>0.24365740740740741</v>
      </c>
      <c r="C96" t="str" cm="1">
        <f t="array" ref="C96">INDEX(Sheet1!$I:$I, ROW()*3 - 2)</f>
        <v>نصف القطر. اذا اقسم العشرة على اثنين. اذا النق يساوي خمسة. اجابة صحيحة وكافية وشافية ووافية. بيض الله وجهك. الله يعطيك العافية يا كرم. شكرا لك. يلا نروح للي بعده. يا شباب.</v>
      </c>
    </row>
    <row r="97" spans="1:3" x14ac:dyDescent="0.2">
      <c r="A97" s="1" cm="1">
        <f t="array" ref="A97">INDEX(Sheet1!$G:$G, ROW()*3 - 2)+Sheet1!$F$2</f>
        <v>0.24369212962962963</v>
      </c>
      <c r="B97" s="1" cm="1">
        <f t="array" ref="B97">INDEX(Sheet1!$H:$H, ROW()*3 - 2)+Sheet1!$F$2</f>
        <v>0.24401620370370369</v>
      </c>
      <c r="C97" t="str" cm="1">
        <f t="array" ref="C97">INDEX(Sheet1!$I:$I, ROW()*3 - 2)</f>
        <v> انتبهوا معي. مساحة الدائرة طاء نق تربيع. تضرب نصف القطر تربيع في طاء. او احيانا الطاء قد يكون ثلاثة فاصلة اربعة عشر. والمحيط هو القطر او نصف القطر في اثنين ونضربها في طاء. سهلة ان شاء الله. نبدأ. السؤال. يلا. </v>
      </c>
    </row>
    <row r="98" spans="1:3" x14ac:dyDescent="0.2">
      <c r="A98" s="1" cm="1">
        <f t="array" ref="A98">INDEX(Sheet1!$G:$G, ROW()*3 - 2)+Sheet1!$F$2</f>
        <v>0.24406249999999999</v>
      </c>
      <c r="B98" s="1" cm="1">
        <f t="array" ref="B98">INDEX(Sheet1!$H:$H, ROW()*3 - 2)+Sheet1!$F$2</f>
        <v>0.24422453703703703</v>
      </c>
      <c r="C98" t="str" cm="1">
        <f t="array" ref="C98">INDEX(Sheet1!$I:$I, ROW()*3 - 2)</f>
        <v>ركزوا يا شباب. الجزء المظلل كم نسبته من الدائرة؟ تجيب مساحة الدائرة. وبعدين تشوف الجزء المظلل كم نسبته من الدائرة؟ هل هو الربع؟ الثلث. النص. ثلثين. يعني </v>
      </c>
    </row>
    <row r="99" spans="1:3" x14ac:dyDescent="0.2">
      <c r="A99" s="1" cm="1">
        <f t="array" ref="A99">INDEX(Sheet1!$G:$G, ROW()*3 - 2)+Sheet1!$F$2</f>
        <v>0.24422453703703703</v>
      </c>
      <c r="B99" s="1" cm="1">
        <f t="array" ref="B99">INDEX(Sheet1!$H:$H, ROW()*3 - 2)+Sheet1!$F$2</f>
        <v>0.24437500000000001</v>
      </c>
      <c r="C99" t="str" cm="1">
        <f t="array" ref="C99">INDEX(Sheet1!$I:$I, ROW()*3 - 2)</f>
        <v>اول شي لازم تحدد نسبة الجزء المظلل. قد يكون ربع. قد يكون نص. قد يكون خمس. قد يكون سدس. قد يكون ثلثين. وهكذا. </v>
      </c>
    </row>
    <row r="100" spans="1:3" x14ac:dyDescent="0.2">
      <c r="A100" s="1" cm="1">
        <f t="array" ref="A100">INDEX(Sheet1!$G:$G, ROW()*3 - 2)+Sheet1!$F$2</f>
        <v>0.24437500000000001</v>
      </c>
      <c r="B100" s="1" cm="1">
        <f t="array" ref="B100">INDEX(Sheet1!$H:$H, ROW()*3 - 2)+Sheet1!$F$2</f>
        <v>0.24460648148148148</v>
      </c>
      <c r="C100" t="str" cm="1">
        <f t="array" ref="C100">INDEX(Sheet1!$I:$I, ROW()*3 - 2)</f>
        <v>يلا ما نقطع الشاش.</v>
      </c>
    </row>
    <row r="101" spans="1:3" x14ac:dyDescent="0.2">
      <c r="A101" s="1" cm="1">
        <f t="array" ref="A101">INDEX(Sheet1!$G:$G, ROW()*3 - 2)+Sheet1!$F$2</f>
        <v>0.24464120370370371</v>
      </c>
      <c r="B101" s="1" cm="1">
        <f t="array" ref="B101">INDEX(Sheet1!$H:$H, ROW()*3 - 2)+Sheet1!$F$2</f>
        <v>0.24465277777777777</v>
      </c>
      <c r="C101" t="str" cm="1">
        <f t="array" ref="C101">INDEX(Sheet1!$I:$I, ROW()*3 - 2)</f>
        <v>[صوت موسيقى] </v>
      </c>
    </row>
    <row r="102" spans="1:3" x14ac:dyDescent="0.2">
      <c r="A102" s="1" cm="1">
        <f t="array" ref="A102">INDEX(Sheet1!$G:$G, ROW()*3 - 2)+Sheet1!$F$2</f>
        <v>0.24465277777777777</v>
      </c>
      <c r="B102" s="1" cm="1">
        <f t="array" ref="B102">INDEX(Sheet1!$H:$H, ROW()*3 - 2)+Sheet1!$F$2</f>
        <v>0.24479166666666666</v>
      </c>
      <c r="C102" t="str" cm="1">
        <f t="array" ref="C102">INDEX(Sheet1!$I:$I, ROW()*3 - 2)</f>
        <v>سريعا احد بيطلب ماي. معنا اول واحد طلب فارس. ليس فارس. خالد يا خالد. يلا يا خالد. مع </v>
      </c>
    </row>
    <row r="103" spans="1:3" x14ac:dyDescent="0.2">
      <c r="A103" s="1" cm="1">
        <f t="array" ref="A103">INDEX(Sheet1!$G:$G, ROW()*3 - 2)+Sheet1!$F$2</f>
        <v>0.24479166666666666</v>
      </c>
      <c r="B103" s="1" cm="1">
        <f t="array" ref="B103">INDEX(Sheet1!$H:$H, ROW()*3 - 2)+Sheet1!$F$2</f>
        <v>0.24490740740740741</v>
      </c>
      <c r="C103" t="str" cm="1">
        <f t="array" ref="C103">INDEX(Sheet1!$I:$I, ROW()*3 - 2)</f>
        <v>ان اتوقع اجابتك هاته يا خالد. تسمعني يا خالد. بس افتح المايك. يلا يا خالد. </v>
      </c>
    </row>
    <row r="104" spans="1:3" x14ac:dyDescent="0.2">
      <c r="A104" s="1" cm="1">
        <f t="array" ref="A104">INDEX(Sheet1!$G:$G, ROW()*3 - 2)+Sheet1!$F$2</f>
        <v>0.24490740740740741</v>
      </c>
      <c r="B104" s="1" cm="1">
        <f t="array" ref="B104">INDEX(Sheet1!$H:$H, ROW()*3 - 2)+Sheet1!$F$2</f>
        <v>0.2449537037037037</v>
      </c>
      <c r="C104" t="str" cm="1">
        <f t="array" ref="C104">INDEX(Sheet1!$I:$I, ROW()*3 - 2)</f>
        <v>انا غلطت في السؤال بس اني فهمته بعد ما غلطت. </v>
      </c>
    </row>
    <row r="105" spans="1:3" x14ac:dyDescent="0.2">
      <c r="A105" s="1" cm="1">
        <f t="array" ref="A105">INDEX(Sheet1!$G:$G, ROW()*3 - 2)+Sheet1!$F$2</f>
        <v>0.2449537037037037</v>
      </c>
      <c r="B105" s="1" cm="1">
        <f t="array" ref="B105">INDEX(Sheet1!$H:$H, ROW()*3 - 2)+Sheet1!$F$2</f>
        <v>0.24496527777777777</v>
      </c>
      <c r="C105" t="str" cm="1">
        <f t="array" ref="C105">INDEX(Sheet1!$I:$I, ROW()*3 - 2)</f>
        <v>يلا روح يا خالد. </v>
      </c>
    </row>
    <row r="106" spans="1:3" x14ac:dyDescent="0.2">
      <c r="A106" s="1" cm="1">
        <f t="array" ref="A106">INDEX(Sheet1!$G:$G, ROW()*3 - 2)+Sheet1!$F$2</f>
        <v>0.24496527777777777</v>
      </c>
      <c r="B106" s="1" cm="1">
        <f t="array" ref="B106">INDEX(Sheet1!$H:$H, ROW()*3 - 2)+Sheet1!$F$2</f>
        <v>0.24505787037037036</v>
      </c>
      <c r="C106" t="str" cm="1">
        <f t="array" ref="C106">INDEX(Sheet1!$I:$I, ROW()*3 - 2)</f>
        <v>يقولون في الشكل التالي دائرة نصف قطرها 3 سنتيمتر. مساحة الجزء المظلل. </v>
      </c>
    </row>
    <row r="107" spans="1:3" x14ac:dyDescent="0.2">
      <c r="A107" s="1" cm="1">
        <f t="array" ref="A107">INDEX(Sheet1!$G:$G, ROW()*3 - 2)+Sheet1!$F$2</f>
        <v>0.24505787037037036</v>
      </c>
      <c r="B107" s="1" cm="1">
        <f t="array" ref="B107">INDEX(Sheet1!$H:$H, ROW()*3 - 2)+Sheet1!$F$2</f>
        <v>0.24506944444444445</v>
      </c>
      <c r="C107" t="str" cm="1">
        <f t="array" ref="C107">INDEX(Sheet1!$I:$I, ROW()*3 - 2)</f>
        <v>ممتاز </v>
      </c>
    </row>
    <row r="108" spans="1:3" x14ac:dyDescent="0.2">
      <c r="A108" s="1" cm="1">
        <f t="array" ref="A108">INDEX(Sheet1!$G:$G, ROW()*3 - 2)+Sheet1!$F$2</f>
        <v>0.24506944444444445</v>
      </c>
      <c r="B108" s="1" cm="1">
        <f t="array" ref="B108">INDEX(Sheet1!$H:$H, ROW()*3 - 2)+Sheet1!$F$2</f>
        <v>0.24509259259259258</v>
      </c>
      <c r="C108" t="str" cm="1">
        <f t="array" ref="C108">INDEX(Sheet1!$I:$I, ROW()*3 - 2)</f>
        <v>ولو... </v>
      </c>
    </row>
    <row r="109" spans="1:3" x14ac:dyDescent="0.2">
      <c r="A109" s="1" cm="1">
        <f t="array" ref="A109">INDEX(Sheet1!$G:$G, ROW()*3 - 2)+Sheet1!$F$2</f>
        <v>0.24509259259259258</v>
      </c>
      <c r="B109" s="1" cm="1">
        <f t="array" ref="B109">INDEX(Sheet1!$H:$H, ROW()*3 - 2)+Sheet1!$F$2</f>
        <v>0.24517361111111111</v>
      </c>
      <c r="C109" t="str" cm="1">
        <f t="array" ref="C109">INDEX(Sheet1!$I:$I, ROW()*3 - 2)</f>
        <v>لو نلاحظ ان الجزء الغير مظلل. زاويته 120 اللي هي ثلث ثلث المثلث الدائرة. </v>
      </c>
    </row>
    <row r="110" spans="1:3" x14ac:dyDescent="0.2">
      <c r="A110" s="1" cm="1">
        <f t="array" ref="A110">INDEX(Sheet1!$G:$G, ROW()*3 - 2)+Sheet1!$F$2</f>
        <v>0.24517361111111111</v>
      </c>
      <c r="B110" s="1" cm="1">
        <f t="array" ref="B110">INDEX(Sheet1!$H:$H, ROW()*3 - 2)+Sheet1!$F$2</f>
        <v>0.24525462962962963</v>
      </c>
      <c r="C110" t="str" cm="1">
        <f t="array" ref="C110">INDEX(Sheet1!$I:$I, ROW()*3 - 2)</f>
        <v>المثال 120 هي ثلث الدائرة صح؟ صح. اذا المضلل كم هو؟ </v>
      </c>
    </row>
    <row r="111" spans="1:3" x14ac:dyDescent="0.2">
      <c r="A111" s="1" cm="1">
        <f t="array" ref="A111">INDEX(Sheet1!$G:$G, ROW()*3 - 2)+Sheet1!$F$2</f>
        <v>0.24525462962962963</v>
      </c>
      <c r="B111" s="1" cm="1">
        <f t="array" ref="B111">INDEX(Sheet1!$H:$H, ROW()*3 - 2)+Sheet1!$F$2</f>
        <v>0.24528935185185186</v>
      </c>
      <c r="C111" t="str" cm="1">
        <f t="array" ref="C111">INDEX(Sheet1!$I:$I, ROW()*3 - 2)</f>
        <v>240. </v>
      </c>
    </row>
    <row r="112" spans="1:3" x14ac:dyDescent="0.2">
      <c r="A112" s="1" cm="1">
        <f t="array" ref="A112">INDEX(Sheet1!$G:$G, ROW()*3 - 2)+Sheet1!$F$2</f>
        <v>0.24528935185185186</v>
      </c>
      <c r="B112" s="1" cm="1">
        <f t="array" ref="B112">INDEX(Sheet1!$H:$H, ROW()*3 - 2)+Sheet1!$F$2</f>
        <v>0.24550925925925926</v>
      </c>
      <c r="C112" t="str" cm="1">
        <f t="array" ref="C112">INDEX(Sheet1!$I:$I, ROW()*3 - 2)</f>
        <v>كم نسبته. ممتاز 240. اذا باقي من 360. 240. اذا ابغى احسب نسبة نسبة المضلل. نقسمها على 360 يساوي الصفر يروح مع الصفر. و24 نبسطها مع 36 بنقسمهم على على كام </v>
      </c>
    </row>
    <row r="113" spans="1:3" x14ac:dyDescent="0.2">
      <c r="A113" s="1" cm="1">
        <f t="array" ref="A113">INDEX(Sheet1!$G:$G, ROW()*3 - 2)+Sheet1!$F$2</f>
        <v>0.24550925925925926</v>
      </c>
      <c r="B113" s="1" cm="1">
        <f t="array" ref="B113">INDEX(Sheet1!$H:$H, ROW()*3 - 2)+Sheet1!$F$2</f>
        <v>0.24556712962962962</v>
      </c>
      <c r="C113" t="str" cm="1">
        <f t="array" ref="C113">INDEX(Sheet1!$I:$I, ROW()*3 - 2)</f>
        <v>على 6 صح 6 على 6 </v>
      </c>
    </row>
    <row r="114" spans="1:3" x14ac:dyDescent="0.2">
      <c r="A114" s="1" cm="1">
        <f t="array" ref="A114">INDEX(Sheet1!$G:$G, ROW()*3 - 2)+Sheet1!$F$2</f>
        <v>0.24556712962962962</v>
      </c>
      <c r="B114" s="1" cm="1">
        <f t="array" ref="B114">INDEX(Sheet1!$H:$H, ROW()*3 - 2)+Sheet1!$F$2</f>
        <v>0.24582175925925925</v>
      </c>
      <c r="C114" t="str" cm="1">
        <f t="array" ref="C114">INDEX(Sheet1!$I:$I, ROW()*3 - 2)</f>
        <v>او على 12 افضل 24 على 12 بكم ب2. وستة وثلاثين على اثنعش بكم؟ ثلاثة اذا قسمنا على اثنعش وقسمنا على اثنعش بدل ما نبسط مرتين والصفر يروح مع الصفر. اذا كم نسبة المضلل؟ ثلثين ثلثين صحيح. كم مساحة الدائرة؟ احسب لي مساحة الدائرة. </v>
      </c>
    </row>
    <row r="115" spans="1:3" x14ac:dyDescent="0.2">
      <c r="A115" s="1" cm="1">
        <f t="array" ref="A115">INDEX(Sheet1!$G:$G, ROW()*3 - 2)+Sheet1!$F$2</f>
        <v>0.24582175925925925</v>
      </c>
      <c r="B115" s="1" cm="1">
        <f t="array" ref="B115">INDEX(Sheet1!$H:$H, ROW()*3 - 2)+Sheet1!$F$2</f>
        <v>0.24592592592592594</v>
      </c>
      <c r="C115" t="str" cm="1">
        <f t="array" ref="C115">INDEX(Sheet1!$I:$I, ROW()*3 - 2)</f>
        <v>اللي هو قال لي الحين في المعطيات ان نصف قطرها ثلاثة. الدائرة طاء نقط تربيعي اللي هي نصف القطر ثلاثة تربيع تسعة. </v>
      </c>
    </row>
    <row r="116" spans="1:3" x14ac:dyDescent="0.2">
      <c r="A116" s="1" cm="1">
        <f t="array" ref="A116">INDEX(Sheet1!$G:$G, ROW()*3 - 2)+Sheet1!$F$2</f>
        <v>0.24592592592592594</v>
      </c>
      <c r="B116" s="1" cm="1">
        <f t="array" ref="B116">INDEX(Sheet1!$H:$H, ROW()*3 - 2)+Sheet1!$F$2</f>
        <v>0.2459837962962963</v>
      </c>
      <c r="C116" t="str" cm="1">
        <f t="array" ref="C116">INDEX(Sheet1!$I:$I, ROW()*3 - 2)</f>
        <v>طه اي ممتاز. طيب مساحة المضلل. </v>
      </c>
    </row>
    <row r="117" spans="1:3" x14ac:dyDescent="0.2">
      <c r="A117" s="1"/>
      <c r="B117" s="1"/>
    </row>
    <row r="118" spans="1:3" x14ac:dyDescent="0.2">
      <c r="A118" s="1"/>
      <c r="B118" s="1"/>
    </row>
    <row r="119" spans="1:3" x14ac:dyDescent="0.2">
      <c r="A119" s="1"/>
      <c r="B119" s="1"/>
    </row>
    <row r="120" spans="1:3" x14ac:dyDescent="0.2">
      <c r="A120" s="1"/>
      <c r="B120" s="1"/>
    </row>
    <row r="121" spans="1:3" x14ac:dyDescent="0.2">
      <c r="A121" s="1"/>
      <c r="B121" s="1"/>
    </row>
    <row r="122" spans="1:3" x14ac:dyDescent="0.2">
      <c r="A122" s="1"/>
      <c r="B122" s="1"/>
    </row>
    <row r="123" spans="1:3" x14ac:dyDescent="0.2">
      <c r="A123" s="1"/>
      <c r="B123" s="1"/>
    </row>
    <row r="124" spans="1:3" x14ac:dyDescent="0.2">
      <c r="A124" s="1"/>
      <c r="B124" s="1"/>
    </row>
    <row r="125" spans="1:3" x14ac:dyDescent="0.2">
      <c r="A125" s="1"/>
      <c r="B125" s="1"/>
    </row>
    <row r="126" spans="1:3" x14ac:dyDescent="0.2">
      <c r="A126" s="1"/>
      <c r="B126" s="1"/>
    </row>
    <row r="127" spans="1:3" x14ac:dyDescent="0.2">
      <c r="A127" s="1"/>
      <c r="B127" s="1"/>
    </row>
    <row r="128" spans="1:3" x14ac:dyDescent="0.2">
      <c r="A128" s="1"/>
      <c r="B128" s="1"/>
    </row>
    <row r="129" spans="1:2" x14ac:dyDescent="0.2">
      <c r="A129" s="1"/>
      <c r="B129" s="1"/>
    </row>
    <row r="130" spans="1:2" x14ac:dyDescent="0.2">
      <c r="A130" s="1"/>
      <c r="B130" s="1"/>
    </row>
    <row r="131" spans="1:2" x14ac:dyDescent="0.2">
      <c r="A131" s="1"/>
      <c r="B131" s="1"/>
    </row>
    <row r="132" spans="1:2" x14ac:dyDescent="0.2">
      <c r="A132" s="1"/>
      <c r="B132" s="1"/>
    </row>
    <row r="133" spans="1:2" x14ac:dyDescent="0.2">
      <c r="A133" s="1"/>
      <c r="B133" s="1"/>
    </row>
    <row r="134" spans="1:2" x14ac:dyDescent="0.2">
      <c r="A134" s="1"/>
      <c r="B134" s="1"/>
    </row>
    <row r="135" spans="1:2" x14ac:dyDescent="0.2">
      <c r="A135" s="1"/>
      <c r="B135" s="1"/>
    </row>
    <row r="136" spans="1:2" x14ac:dyDescent="0.2">
      <c r="A136" s="1"/>
      <c r="B136" s="1"/>
    </row>
    <row r="137" spans="1:2" x14ac:dyDescent="0.2">
      <c r="A137" s="1"/>
      <c r="B137" s="1"/>
    </row>
    <row r="138" spans="1:2" x14ac:dyDescent="0.2">
      <c r="A138" s="1"/>
      <c r="B138" s="1"/>
    </row>
    <row r="139" spans="1:2" x14ac:dyDescent="0.2">
      <c r="A139" s="1"/>
      <c r="B139" s="1"/>
    </row>
    <row r="140" spans="1:2" x14ac:dyDescent="0.2">
      <c r="A140" s="1"/>
      <c r="B140" s="1"/>
    </row>
    <row r="141" spans="1:2" x14ac:dyDescent="0.2">
      <c r="A141" s="1"/>
      <c r="B141" s="1"/>
    </row>
    <row r="142" spans="1:2" x14ac:dyDescent="0.2">
      <c r="A142" s="1"/>
      <c r="B142" s="1"/>
    </row>
    <row r="143" spans="1:2" x14ac:dyDescent="0.2">
      <c r="A143" s="1"/>
      <c r="B143" s="1"/>
    </row>
    <row r="144" spans="1:2" x14ac:dyDescent="0.2">
      <c r="A144" s="1"/>
      <c r="B144" s="1"/>
    </row>
    <row r="145" spans="1:2" x14ac:dyDescent="0.2">
      <c r="A145" s="1"/>
      <c r="B145" s="1"/>
    </row>
    <row r="146" spans="1:2" x14ac:dyDescent="0.2">
      <c r="A146" s="1"/>
      <c r="B146" s="1"/>
    </row>
    <row r="147" spans="1:2" x14ac:dyDescent="0.2">
      <c r="A147" s="1"/>
      <c r="B147" s="1"/>
    </row>
    <row r="148" spans="1:2" x14ac:dyDescent="0.2">
      <c r="A148" s="1"/>
      <c r="B148" s="1"/>
    </row>
    <row r="149" spans="1:2" x14ac:dyDescent="0.2">
      <c r="A149" s="1"/>
      <c r="B149" s="1"/>
    </row>
    <row r="150" spans="1:2" x14ac:dyDescent="0.2">
      <c r="A150" s="1"/>
      <c r="B150" s="1"/>
    </row>
    <row r="151" spans="1:2" x14ac:dyDescent="0.2">
      <c r="A151" s="1"/>
      <c r="B151" s="1"/>
    </row>
    <row r="152" spans="1:2" x14ac:dyDescent="0.2">
      <c r="A152" s="1"/>
      <c r="B152" s="1"/>
    </row>
    <row r="153" spans="1:2" x14ac:dyDescent="0.2">
      <c r="A153" s="1"/>
      <c r="B153" s="1"/>
    </row>
    <row r="154" spans="1:2" x14ac:dyDescent="0.2">
      <c r="A154" s="1"/>
      <c r="B154" s="1"/>
    </row>
    <row r="155" spans="1:2" x14ac:dyDescent="0.2">
      <c r="A155" s="1"/>
      <c r="B155" s="1"/>
    </row>
    <row r="156" spans="1:2" x14ac:dyDescent="0.2">
      <c r="A156" s="1"/>
      <c r="B156" s="1"/>
    </row>
    <row r="157" spans="1:2" x14ac:dyDescent="0.2">
      <c r="A157" s="1"/>
      <c r="B157" s="1"/>
    </row>
    <row r="158" spans="1:2" x14ac:dyDescent="0.2">
      <c r="A158" s="1"/>
      <c r="B158" s="1"/>
    </row>
    <row r="159" spans="1:2" x14ac:dyDescent="0.2">
      <c r="A159" s="1"/>
      <c r="B159" s="1"/>
    </row>
    <row r="160" spans="1:2" x14ac:dyDescent="0.2">
      <c r="A160" s="1"/>
      <c r="B160" s="1"/>
    </row>
    <row r="161" spans="1:2" x14ac:dyDescent="0.2">
      <c r="A161" s="1"/>
      <c r="B161" s="1"/>
    </row>
    <row r="162" spans="1:2" x14ac:dyDescent="0.2">
      <c r="A162" s="1"/>
      <c r="B162" s="1"/>
    </row>
    <row r="163" spans="1:2" x14ac:dyDescent="0.2">
      <c r="A163" s="1"/>
      <c r="B163" s="1"/>
    </row>
    <row r="164" spans="1:2" x14ac:dyDescent="0.2">
      <c r="A164" s="1"/>
      <c r="B164" s="1"/>
    </row>
    <row r="165" spans="1:2" x14ac:dyDescent="0.2">
      <c r="A165" s="1"/>
      <c r="B165" s="1"/>
    </row>
    <row r="166" spans="1:2" x14ac:dyDescent="0.2">
      <c r="A166" s="1"/>
      <c r="B166" s="1"/>
    </row>
    <row r="167" spans="1:2" x14ac:dyDescent="0.2">
      <c r="A167" s="1"/>
      <c r="B167" s="1"/>
    </row>
    <row r="168" spans="1:2" x14ac:dyDescent="0.2">
      <c r="A168" s="1"/>
      <c r="B168" s="1"/>
    </row>
    <row r="169" spans="1:2" x14ac:dyDescent="0.2">
      <c r="A169" s="1"/>
      <c r="B169" s="1"/>
    </row>
    <row r="170" spans="1:2" x14ac:dyDescent="0.2">
      <c r="A170" s="1"/>
      <c r="B170" s="1"/>
    </row>
    <row r="171" spans="1:2" x14ac:dyDescent="0.2">
      <c r="A171" s="1"/>
      <c r="B171" s="1"/>
    </row>
    <row r="172" spans="1:2" x14ac:dyDescent="0.2">
      <c r="A172" s="1"/>
      <c r="B172" s="1"/>
    </row>
    <row r="173" spans="1:2" x14ac:dyDescent="0.2">
      <c r="A173" s="1"/>
      <c r="B173" s="1"/>
    </row>
    <row r="174" spans="1:2" x14ac:dyDescent="0.2">
      <c r="A174" s="1"/>
      <c r="B174" s="1"/>
    </row>
    <row r="175" spans="1:2" x14ac:dyDescent="0.2">
      <c r="A175" s="1"/>
      <c r="B175" s="1"/>
    </row>
    <row r="176" spans="1:2" x14ac:dyDescent="0.2">
      <c r="A176" s="1"/>
      <c r="B176" s="1"/>
    </row>
    <row r="177" spans="1:2" x14ac:dyDescent="0.2">
      <c r="A177" s="1"/>
      <c r="B177" s="1"/>
    </row>
    <row r="178" spans="1:2" x14ac:dyDescent="0.2">
      <c r="A178" s="1"/>
      <c r="B178" s="1"/>
    </row>
    <row r="179" spans="1:2" x14ac:dyDescent="0.2">
      <c r="A179" s="1"/>
      <c r="B179" s="1"/>
    </row>
    <row r="180" spans="1:2" x14ac:dyDescent="0.2">
      <c r="A180" s="1"/>
      <c r="B180" s="1"/>
    </row>
    <row r="181" spans="1:2" x14ac:dyDescent="0.2">
      <c r="A181" s="1"/>
      <c r="B181" s="1"/>
    </row>
    <row r="182" spans="1:2" x14ac:dyDescent="0.2">
      <c r="A182" s="1"/>
      <c r="B182" s="1"/>
    </row>
    <row r="183" spans="1:2" x14ac:dyDescent="0.2">
      <c r="A183" s="1"/>
      <c r="B183" s="1"/>
    </row>
    <row r="184" spans="1:2" x14ac:dyDescent="0.2">
      <c r="A184" s="1"/>
      <c r="B184" s="1"/>
    </row>
    <row r="185" spans="1:2" x14ac:dyDescent="0.2">
      <c r="A185" s="1"/>
      <c r="B185" s="1"/>
    </row>
    <row r="186" spans="1:2" x14ac:dyDescent="0.2">
      <c r="A186" s="1"/>
      <c r="B186" s="1"/>
    </row>
    <row r="187" spans="1:2" x14ac:dyDescent="0.2">
      <c r="A187" s="1"/>
      <c r="B187" s="1"/>
    </row>
    <row r="188" spans="1:2" x14ac:dyDescent="0.2">
      <c r="A188" s="1"/>
      <c r="B188" s="1"/>
    </row>
    <row r="189" spans="1:2" x14ac:dyDescent="0.2">
      <c r="A189" s="1"/>
      <c r="B189" s="1"/>
    </row>
    <row r="190" spans="1:2" x14ac:dyDescent="0.2">
      <c r="A190" s="1"/>
      <c r="B190" s="1"/>
    </row>
    <row r="191" spans="1:2" x14ac:dyDescent="0.2">
      <c r="A191" s="1"/>
      <c r="B191" s="1"/>
    </row>
    <row r="192" spans="1:2" x14ac:dyDescent="0.2">
      <c r="A192" s="1"/>
      <c r="B192" s="1"/>
    </row>
    <row r="193" spans="1:2" x14ac:dyDescent="0.2">
      <c r="A193" s="1"/>
      <c r="B193" s="1"/>
    </row>
    <row r="194" spans="1:2" x14ac:dyDescent="0.2">
      <c r="A194" s="1"/>
      <c r="B194" s="1"/>
    </row>
    <row r="195" spans="1:2" x14ac:dyDescent="0.2">
      <c r="A195" s="1"/>
      <c r="B195" s="1"/>
    </row>
    <row r="196" spans="1:2" x14ac:dyDescent="0.2">
      <c r="A196" s="1"/>
      <c r="B196" s="1"/>
    </row>
    <row r="197" spans="1:2" x14ac:dyDescent="0.2">
      <c r="A197" s="1"/>
      <c r="B197" s="1"/>
    </row>
    <row r="198" spans="1:2" x14ac:dyDescent="0.2">
      <c r="A198" s="1"/>
      <c r="B198" s="1"/>
    </row>
    <row r="199" spans="1:2" x14ac:dyDescent="0.2">
      <c r="A199" s="1"/>
      <c r="B199" s="1"/>
    </row>
    <row r="200" spans="1:2" x14ac:dyDescent="0.2">
      <c r="A200" s="1"/>
      <c r="B200" s="1"/>
    </row>
    <row r="201" spans="1:2" x14ac:dyDescent="0.2">
      <c r="A201" s="1"/>
      <c r="B201" s="1"/>
    </row>
    <row r="202" spans="1:2" x14ac:dyDescent="0.2">
      <c r="A202" s="1"/>
      <c r="B202" s="1"/>
    </row>
    <row r="203" spans="1:2" x14ac:dyDescent="0.2">
      <c r="A203" s="1"/>
      <c r="B203" s="1"/>
    </row>
    <row r="204" spans="1:2" x14ac:dyDescent="0.2">
      <c r="A204" s="1"/>
      <c r="B204" s="1"/>
    </row>
    <row r="205" spans="1:2" x14ac:dyDescent="0.2">
      <c r="A205" s="1"/>
      <c r="B205" s="1"/>
    </row>
    <row r="206" spans="1:2" x14ac:dyDescent="0.2">
      <c r="A206" s="1"/>
      <c r="B206" s="1"/>
    </row>
    <row r="207" spans="1:2" x14ac:dyDescent="0.2">
      <c r="A207" s="1"/>
      <c r="B207" s="1"/>
    </row>
    <row r="208" spans="1:2" x14ac:dyDescent="0.2">
      <c r="A208" s="1"/>
      <c r="B208" s="1"/>
    </row>
    <row r="209" spans="1:2" x14ac:dyDescent="0.2">
      <c r="A209" s="1"/>
      <c r="B209" s="1"/>
    </row>
    <row r="210" spans="1:2" x14ac:dyDescent="0.2">
      <c r="A210" s="1"/>
      <c r="B210" s="1"/>
    </row>
    <row r="211" spans="1:2" x14ac:dyDescent="0.2">
      <c r="A211" s="1"/>
      <c r="B211" s="1"/>
    </row>
    <row r="212" spans="1:2" x14ac:dyDescent="0.2">
      <c r="A212" s="1"/>
      <c r="B212" s="1"/>
    </row>
    <row r="213" spans="1:2" x14ac:dyDescent="0.2">
      <c r="A213" s="1"/>
      <c r="B213" s="1"/>
    </row>
    <row r="214" spans="1:2" x14ac:dyDescent="0.2">
      <c r="A214" s="1"/>
      <c r="B214" s="1"/>
    </row>
    <row r="215" spans="1:2" x14ac:dyDescent="0.2">
      <c r="A215" s="1"/>
      <c r="B215" s="1"/>
    </row>
    <row r="216" spans="1:2" x14ac:dyDescent="0.2">
      <c r="A216" s="1"/>
      <c r="B216" s="1"/>
    </row>
    <row r="217" spans="1:2" x14ac:dyDescent="0.2">
      <c r="A217" s="1"/>
      <c r="B217" s="1"/>
    </row>
    <row r="218" spans="1:2" x14ac:dyDescent="0.2">
      <c r="A218" s="1"/>
      <c r="B218" s="1"/>
    </row>
    <row r="219" spans="1:2" x14ac:dyDescent="0.2">
      <c r="A219" s="1"/>
      <c r="B219" s="1"/>
    </row>
    <row r="220" spans="1:2" x14ac:dyDescent="0.2">
      <c r="A220" s="1"/>
      <c r="B220" s="1"/>
    </row>
    <row r="221" spans="1:2" x14ac:dyDescent="0.2">
      <c r="A221" s="1"/>
      <c r="B221" s="1"/>
    </row>
    <row r="222" spans="1:2" x14ac:dyDescent="0.2">
      <c r="A222" s="1"/>
      <c r="B222" s="1"/>
    </row>
    <row r="223" spans="1:2" x14ac:dyDescent="0.2">
      <c r="A223" s="1"/>
      <c r="B223" s="1"/>
    </row>
    <row r="224" spans="1:2" x14ac:dyDescent="0.2">
      <c r="A224" s="1"/>
      <c r="B224" s="1"/>
    </row>
    <row r="225" spans="1:2" x14ac:dyDescent="0.2">
      <c r="A225" s="1"/>
      <c r="B225" s="1"/>
    </row>
    <row r="226" spans="1:2" x14ac:dyDescent="0.2">
      <c r="A226" s="1"/>
      <c r="B226" s="1"/>
    </row>
    <row r="227" spans="1:2" x14ac:dyDescent="0.2">
      <c r="A227" s="1"/>
      <c r="B227" s="1"/>
    </row>
    <row r="228" spans="1:2" x14ac:dyDescent="0.2">
      <c r="A228" s="1"/>
      <c r="B228" s="1"/>
    </row>
    <row r="229" spans="1:2" x14ac:dyDescent="0.2">
      <c r="A229" s="1"/>
      <c r="B229" s="1"/>
    </row>
    <row r="230" spans="1:2" x14ac:dyDescent="0.2">
      <c r="A230" s="1"/>
      <c r="B230" s="1"/>
    </row>
    <row r="231" spans="1:2" x14ac:dyDescent="0.2">
      <c r="A231" s="1"/>
      <c r="B231" s="1"/>
    </row>
    <row r="232" spans="1:2" x14ac:dyDescent="0.2">
      <c r="A232" s="1"/>
      <c r="B232" s="1"/>
    </row>
    <row r="233" spans="1:2" x14ac:dyDescent="0.2">
      <c r="A233" s="1"/>
      <c r="B233" s="1"/>
    </row>
    <row r="234" spans="1:2" x14ac:dyDescent="0.2">
      <c r="A234" s="1"/>
      <c r="B234" s="1"/>
    </row>
    <row r="235" spans="1:2" x14ac:dyDescent="0.2">
      <c r="A235" s="1"/>
      <c r="B235" s="1"/>
    </row>
    <row r="236" spans="1:2" x14ac:dyDescent="0.2">
      <c r="A236" s="1"/>
      <c r="B236" s="1"/>
    </row>
    <row r="237" spans="1:2" x14ac:dyDescent="0.2">
      <c r="A237" s="1"/>
      <c r="B237" s="1"/>
    </row>
    <row r="238" spans="1:2" x14ac:dyDescent="0.2">
      <c r="A238" s="1"/>
      <c r="B238" s="1"/>
    </row>
    <row r="239" spans="1:2" x14ac:dyDescent="0.2">
      <c r="A239" s="1"/>
      <c r="B239" s="1"/>
    </row>
    <row r="240" spans="1:2" x14ac:dyDescent="0.2">
      <c r="A240" s="1"/>
      <c r="B240" s="1"/>
    </row>
    <row r="241" spans="1:2" x14ac:dyDescent="0.2">
      <c r="A241" s="1"/>
      <c r="B241" s="1"/>
    </row>
    <row r="242" spans="1:2" x14ac:dyDescent="0.2">
      <c r="A242" s="1"/>
      <c r="B242" s="1"/>
    </row>
    <row r="243" spans="1:2" x14ac:dyDescent="0.2">
      <c r="A243" s="1"/>
      <c r="B243" s="1"/>
    </row>
    <row r="244" spans="1:2" x14ac:dyDescent="0.2">
      <c r="A244" s="1"/>
      <c r="B244" s="1"/>
    </row>
    <row r="245" spans="1:2" x14ac:dyDescent="0.2">
      <c r="A245" s="1"/>
      <c r="B245" s="1"/>
    </row>
    <row r="246" spans="1:2" x14ac:dyDescent="0.2">
      <c r="A246" s="1"/>
      <c r="B246" s="1"/>
    </row>
    <row r="247" spans="1:2" x14ac:dyDescent="0.2">
      <c r="A247" s="1"/>
      <c r="B247" s="1"/>
    </row>
    <row r="248" spans="1:2" x14ac:dyDescent="0.2">
      <c r="A248" s="1"/>
      <c r="B248" s="1"/>
    </row>
    <row r="249" spans="1:2" x14ac:dyDescent="0.2">
      <c r="A249" s="1"/>
      <c r="B249" s="1"/>
    </row>
    <row r="250" spans="1:2" x14ac:dyDescent="0.2">
      <c r="A250" s="1"/>
      <c r="B250" s="1"/>
    </row>
    <row r="251" spans="1:2" x14ac:dyDescent="0.2">
      <c r="A251" s="1"/>
      <c r="B251" s="1"/>
    </row>
    <row r="252" spans="1:2" x14ac:dyDescent="0.2">
      <c r="A252" s="1"/>
      <c r="B252" s="1"/>
    </row>
    <row r="253" spans="1:2" x14ac:dyDescent="0.2">
      <c r="A253" s="1"/>
      <c r="B253" s="1"/>
    </row>
    <row r="254" spans="1:2" x14ac:dyDescent="0.2">
      <c r="A254" s="1"/>
      <c r="B254" s="1"/>
    </row>
    <row r="255" spans="1:2" x14ac:dyDescent="0.2">
      <c r="A255" s="1"/>
      <c r="B255" s="1"/>
    </row>
    <row r="256" spans="1:2" x14ac:dyDescent="0.2">
      <c r="A256" s="1"/>
      <c r="B256" s="1"/>
    </row>
    <row r="257" spans="1:2" x14ac:dyDescent="0.2">
      <c r="A257" s="1"/>
      <c r="B257" s="1"/>
    </row>
    <row r="258" spans="1:2" x14ac:dyDescent="0.2">
      <c r="A258" s="1"/>
      <c r="B258" s="1"/>
    </row>
    <row r="259" spans="1:2" x14ac:dyDescent="0.2">
      <c r="A259" s="1"/>
      <c r="B259" s="1"/>
    </row>
    <row r="260" spans="1:2" x14ac:dyDescent="0.2">
      <c r="A260" s="1"/>
      <c r="B260" s="1"/>
    </row>
    <row r="261" spans="1:2" x14ac:dyDescent="0.2">
      <c r="A261" s="1"/>
      <c r="B261" s="1"/>
    </row>
    <row r="262" spans="1:2" x14ac:dyDescent="0.2">
      <c r="A262" s="1"/>
      <c r="B262" s="1"/>
    </row>
    <row r="263" spans="1:2" x14ac:dyDescent="0.2">
      <c r="A263" s="1"/>
      <c r="B263" s="1"/>
    </row>
    <row r="264" spans="1:2" x14ac:dyDescent="0.2">
      <c r="A264" s="1"/>
      <c r="B264" s="1"/>
    </row>
    <row r="265" spans="1:2" x14ac:dyDescent="0.2">
      <c r="A265" s="1"/>
      <c r="B265" s="1"/>
    </row>
    <row r="266" spans="1:2" x14ac:dyDescent="0.2">
      <c r="A266" s="1"/>
      <c r="B266" s="1"/>
    </row>
    <row r="267" spans="1:2" x14ac:dyDescent="0.2">
      <c r="A267" s="1"/>
      <c r="B267" s="1"/>
    </row>
    <row r="268" spans="1:2" x14ac:dyDescent="0.2">
      <c r="A268" s="1"/>
      <c r="B268" s="1"/>
    </row>
    <row r="269" spans="1:2" x14ac:dyDescent="0.2">
      <c r="A269" s="1"/>
      <c r="B269" s="1"/>
    </row>
    <row r="270" spans="1:2" x14ac:dyDescent="0.2">
      <c r="A270" s="1"/>
      <c r="B270" s="1"/>
    </row>
    <row r="271" spans="1:2" x14ac:dyDescent="0.2">
      <c r="A271" s="1"/>
      <c r="B271" s="1"/>
    </row>
    <row r="272" spans="1:2" x14ac:dyDescent="0.2">
      <c r="A272" s="1"/>
      <c r="B272" s="1"/>
    </row>
    <row r="273" spans="1:2" x14ac:dyDescent="0.2">
      <c r="A273" s="1"/>
      <c r="B273" s="1"/>
    </row>
    <row r="274" spans="1:2" x14ac:dyDescent="0.2">
      <c r="A274" s="1"/>
      <c r="B274" s="1"/>
    </row>
    <row r="275" spans="1:2" x14ac:dyDescent="0.2">
      <c r="A275" s="1"/>
      <c r="B275" s="1"/>
    </row>
    <row r="276" spans="1:2" x14ac:dyDescent="0.2">
      <c r="A276" s="1"/>
      <c r="B276" s="1"/>
    </row>
    <row r="277" spans="1:2" x14ac:dyDescent="0.2">
      <c r="A277" s="1"/>
      <c r="B277" s="1"/>
    </row>
    <row r="278" spans="1:2" x14ac:dyDescent="0.2">
      <c r="A278" s="1"/>
      <c r="B278" s="1"/>
    </row>
    <row r="279" spans="1:2" x14ac:dyDescent="0.2">
      <c r="A279" s="1"/>
      <c r="B279" s="1"/>
    </row>
    <row r="280" spans="1:2" x14ac:dyDescent="0.2">
      <c r="A280" s="1"/>
      <c r="B280" s="1"/>
    </row>
    <row r="281" spans="1:2" x14ac:dyDescent="0.2">
      <c r="A281" s="1"/>
      <c r="B281" s="1"/>
    </row>
    <row r="282" spans="1:2" x14ac:dyDescent="0.2">
      <c r="A282" s="1"/>
      <c r="B282" s="1"/>
    </row>
    <row r="283" spans="1:2" x14ac:dyDescent="0.2">
      <c r="A283" s="1"/>
      <c r="B283" s="1"/>
    </row>
    <row r="284" spans="1:2" x14ac:dyDescent="0.2">
      <c r="A284" s="1"/>
      <c r="B284" s="1"/>
    </row>
    <row r="285" spans="1:2" x14ac:dyDescent="0.2">
      <c r="A285" s="1"/>
      <c r="B285" s="1"/>
    </row>
    <row r="286" spans="1:2" x14ac:dyDescent="0.2">
      <c r="A286" s="1"/>
      <c r="B286" s="1"/>
    </row>
    <row r="287" spans="1:2" x14ac:dyDescent="0.2">
      <c r="A287" s="1"/>
      <c r="B287" s="1"/>
    </row>
    <row r="288" spans="1:2" x14ac:dyDescent="0.2">
      <c r="A288" s="1"/>
      <c r="B288" s="1"/>
    </row>
    <row r="289" spans="1:2" x14ac:dyDescent="0.2">
      <c r="A289" s="1"/>
      <c r="B289" s="1"/>
    </row>
    <row r="290" spans="1:2" x14ac:dyDescent="0.2">
      <c r="A290" s="1"/>
      <c r="B290" s="1"/>
    </row>
    <row r="291" spans="1:2" x14ac:dyDescent="0.2">
      <c r="A291" s="1"/>
      <c r="B291" s="1"/>
    </row>
    <row r="292" spans="1:2" x14ac:dyDescent="0.2">
      <c r="A292" s="1"/>
      <c r="B292" s="1"/>
    </row>
    <row r="293" spans="1:2" x14ac:dyDescent="0.2">
      <c r="A293" s="1"/>
      <c r="B293" s="1"/>
    </row>
    <row r="294" spans="1:2" x14ac:dyDescent="0.2">
      <c r="A294" s="1"/>
      <c r="B294" s="1"/>
    </row>
    <row r="295" spans="1:2" x14ac:dyDescent="0.2">
      <c r="A295" s="1"/>
      <c r="B295" s="1"/>
    </row>
    <row r="296" spans="1:2" x14ac:dyDescent="0.2">
      <c r="A296" s="1"/>
      <c r="B296" s="1"/>
    </row>
    <row r="297" spans="1:2" x14ac:dyDescent="0.2">
      <c r="A297" s="1"/>
      <c r="B297" s="1"/>
    </row>
    <row r="298" spans="1:2" x14ac:dyDescent="0.2">
      <c r="A298" s="1"/>
      <c r="B298" s="1"/>
    </row>
    <row r="299" spans="1:2" x14ac:dyDescent="0.2">
      <c r="A299" s="1"/>
      <c r="B299" s="1"/>
    </row>
    <row r="300" spans="1:2" x14ac:dyDescent="0.2">
      <c r="A300" s="1"/>
      <c r="B300" s="1"/>
    </row>
    <row r="301" spans="1:2" x14ac:dyDescent="0.2">
      <c r="A301" s="1"/>
      <c r="B301" s="1"/>
    </row>
    <row r="302" spans="1:2" x14ac:dyDescent="0.2">
      <c r="A302" s="1"/>
      <c r="B302" s="1"/>
    </row>
    <row r="303" spans="1:2" x14ac:dyDescent="0.2">
      <c r="A303" s="1"/>
      <c r="B303" s="1"/>
    </row>
    <row r="304" spans="1:2" x14ac:dyDescent="0.2">
      <c r="A304" s="1"/>
      <c r="B304" s="1"/>
    </row>
    <row r="305" spans="1:2" x14ac:dyDescent="0.2">
      <c r="A305" s="1"/>
      <c r="B305" s="1"/>
    </row>
    <row r="306" spans="1:2" x14ac:dyDescent="0.2">
      <c r="A306" s="1"/>
      <c r="B306" s="1"/>
    </row>
    <row r="307" spans="1:2" x14ac:dyDescent="0.2">
      <c r="A307" s="1"/>
      <c r="B307" s="1"/>
    </row>
    <row r="308" spans="1:2" x14ac:dyDescent="0.2">
      <c r="A308" s="1"/>
      <c r="B308" s="1"/>
    </row>
    <row r="309" spans="1:2" x14ac:dyDescent="0.2">
      <c r="A309" s="1"/>
      <c r="B309" s="1"/>
    </row>
    <row r="310" spans="1:2" x14ac:dyDescent="0.2">
      <c r="A310" s="1"/>
      <c r="B310" s="1"/>
    </row>
    <row r="311" spans="1:2" x14ac:dyDescent="0.2">
      <c r="A311" s="1"/>
      <c r="B311" s="1"/>
    </row>
    <row r="312" spans="1:2" x14ac:dyDescent="0.2">
      <c r="A312" s="1"/>
      <c r="B312" s="1"/>
    </row>
    <row r="313" spans="1:2" x14ac:dyDescent="0.2">
      <c r="A313" s="1"/>
      <c r="B313" s="1"/>
    </row>
    <row r="314" spans="1:2" x14ac:dyDescent="0.2">
      <c r="A314" s="1"/>
      <c r="B314" s="1"/>
    </row>
    <row r="315" spans="1:2" x14ac:dyDescent="0.2">
      <c r="A315" s="1"/>
      <c r="B315" s="1"/>
    </row>
    <row r="316" spans="1:2" x14ac:dyDescent="0.2">
      <c r="A316" s="1"/>
      <c r="B316" s="1"/>
    </row>
    <row r="317" spans="1:2" x14ac:dyDescent="0.2">
      <c r="A317" s="1"/>
      <c r="B317" s="1"/>
    </row>
    <row r="318" spans="1:2" x14ac:dyDescent="0.2">
      <c r="A318" s="1"/>
      <c r="B318" s="1"/>
    </row>
    <row r="319" spans="1:2" x14ac:dyDescent="0.2">
      <c r="A319" s="1"/>
      <c r="B319" s="1"/>
    </row>
    <row r="320" spans="1:2" x14ac:dyDescent="0.2">
      <c r="A320" s="1"/>
      <c r="B320" s="1"/>
    </row>
    <row r="321" spans="1:2" x14ac:dyDescent="0.2">
      <c r="A321" s="1"/>
      <c r="B321" s="1"/>
    </row>
    <row r="322" spans="1:2" x14ac:dyDescent="0.2">
      <c r="A322" s="1"/>
      <c r="B322" s="1"/>
    </row>
    <row r="323" spans="1:2" x14ac:dyDescent="0.2">
      <c r="A323" s="1"/>
      <c r="B323" s="1"/>
    </row>
    <row r="324" spans="1:2" x14ac:dyDescent="0.2">
      <c r="A324" s="1"/>
      <c r="B324" s="1"/>
    </row>
    <row r="325" spans="1:2" x14ac:dyDescent="0.2">
      <c r="A325" s="1"/>
      <c r="B325" s="1"/>
    </row>
    <row r="326" spans="1:2" x14ac:dyDescent="0.2">
      <c r="A326" s="1"/>
      <c r="B326" s="1"/>
    </row>
    <row r="327" spans="1:2" x14ac:dyDescent="0.2">
      <c r="A327" s="1"/>
      <c r="B327" s="1"/>
    </row>
    <row r="328" spans="1:2" x14ac:dyDescent="0.2">
      <c r="A328" s="1"/>
      <c r="B328" s="1"/>
    </row>
    <row r="329" spans="1:2" x14ac:dyDescent="0.2">
      <c r="A329" s="1"/>
      <c r="B329" s="1"/>
    </row>
    <row r="330" spans="1:2" x14ac:dyDescent="0.2">
      <c r="A330" s="1"/>
      <c r="B330" s="1"/>
    </row>
    <row r="331" spans="1:2" x14ac:dyDescent="0.2">
      <c r="A331" s="1"/>
      <c r="B331" s="1"/>
    </row>
    <row r="332" spans="1:2" x14ac:dyDescent="0.2">
      <c r="A332" s="1"/>
      <c r="B332" s="1"/>
    </row>
    <row r="333" spans="1:2" x14ac:dyDescent="0.2">
      <c r="A333" s="1"/>
      <c r="B333" s="1"/>
    </row>
    <row r="334" spans="1:2" x14ac:dyDescent="0.2">
      <c r="A334" s="1"/>
      <c r="B334" s="1"/>
    </row>
    <row r="335" spans="1:2" x14ac:dyDescent="0.2">
      <c r="A335" s="1"/>
      <c r="B335" s="1"/>
    </row>
    <row r="336" spans="1:2" x14ac:dyDescent="0.2">
      <c r="A336" s="1"/>
      <c r="B336" s="1"/>
    </row>
    <row r="337" spans="1:2" x14ac:dyDescent="0.2">
      <c r="A337" s="1"/>
      <c r="B337" s="1"/>
    </row>
    <row r="338" spans="1:2" x14ac:dyDescent="0.2">
      <c r="A338" s="1"/>
      <c r="B338" s="1"/>
    </row>
    <row r="339" spans="1:2" x14ac:dyDescent="0.2">
      <c r="A339" s="1"/>
      <c r="B339" s="1"/>
    </row>
    <row r="340" spans="1:2" x14ac:dyDescent="0.2">
      <c r="A340" s="1"/>
      <c r="B340" s="1"/>
    </row>
    <row r="341" spans="1:2" x14ac:dyDescent="0.2">
      <c r="A341" s="1"/>
      <c r="B341" s="1"/>
    </row>
    <row r="342" spans="1:2" x14ac:dyDescent="0.2">
      <c r="A342" s="1"/>
      <c r="B342" s="1"/>
    </row>
    <row r="343" spans="1:2" x14ac:dyDescent="0.2">
      <c r="A343" s="1"/>
      <c r="B343" s="1"/>
    </row>
    <row r="344" spans="1:2" x14ac:dyDescent="0.2">
      <c r="A344" s="1"/>
      <c r="B344" s="1"/>
    </row>
    <row r="345" spans="1:2" x14ac:dyDescent="0.2">
      <c r="A345" s="1"/>
      <c r="B345" s="1"/>
    </row>
    <row r="346" spans="1:2" x14ac:dyDescent="0.2">
      <c r="A346" s="1"/>
      <c r="B346" s="1"/>
    </row>
    <row r="347" spans="1:2" x14ac:dyDescent="0.2">
      <c r="A347" s="1"/>
      <c r="B347" s="1"/>
    </row>
    <row r="348" spans="1:2" x14ac:dyDescent="0.2">
      <c r="A348" s="1"/>
      <c r="B348" s="1"/>
    </row>
    <row r="349" spans="1:2" x14ac:dyDescent="0.2">
      <c r="A349" s="1"/>
      <c r="B349" s="1"/>
    </row>
    <row r="350" spans="1:2" x14ac:dyDescent="0.2">
      <c r="A350" s="1"/>
      <c r="B350" s="1"/>
    </row>
    <row r="351" spans="1:2" x14ac:dyDescent="0.2">
      <c r="A351" s="1"/>
      <c r="B351" s="1"/>
    </row>
    <row r="352" spans="1:2" x14ac:dyDescent="0.2">
      <c r="A352" s="1"/>
      <c r="B352" s="1"/>
    </row>
    <row r="353" spans="1:2" x14ac:dyDescent="0.2">
      <c r="A353" s="1"/>
      <c r="B353" s="1"/>
    </row>
    <row r="354" spans="1:2" x14ac:dyDescent="0.2">
      <c r="A354" s="1"/>
      <c r="B354" s="1"/>
    </row>
    <row r="355" spans="1:2" x14ac:dyDescent="0.2">
      <c r="A355" s="1"/>
      <c r="B355" s="1"/>
    </row>
    <row r="356" spans="1:2" x14ac:dyDescent="0.2">
      <c r="A356" s="1"/>
      <c r="B356" s="1"/>
    </row>
    <row r="357" spans="1:2" x14ac:dyDescent="0.2">
      <c r="A357" s="1"/>
      <c r="B357" s="1"/>
    </row>
    <row r="358" spans="1:2" x14ac:dyDescent="0.2">
      <c r="A358" s="1"/>
      <c r="B358" s="1"/>
    </row>
    <row r="359" spans="1:2" x14ac:dyDescent="0.2">
      <c r="A359" s="1"/>
      <c r="B359" s="1"/>
    </row>
    <row r="360" spans="1:2" x14ac:dyDescent="0.2">
      <c r="A360" s="1"/>
      <c r="B360" s="1"/>
    </row>
    <row r="361" spans="1:2" x14ac:dyDescent="0.2">
      <c r="A361" s="1"/>
      <c r="B361" s="1"/>
    </row>
    <row r="362" spans="1:2" x14ac:dyDescent="0.2">
      <c r="A362" s="1"/>
      <c r="B362" s="1"/>
    </row>
    <row r="363" spans="1:2" x14ac:dyDescent="0.2">
      <c r="A363" s="1"/>
      <c r="B363" s="1"/>
    </row>
    <row r="364" spans="1:2" x14ac:dyDescent="0.2">
      <c r="A364" s="1"/>
      <c r="B364" s="1"/>
    </row>
    <row r="365" spans="1:2" x14ac:dyDescent="0.2">
      <c r="A365" s="1"/>
      <c r="B36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C2F0-E8B8-BC42-86F7-691178C8DB42}">
  <dimension ref="A1:AO29"/>
  <sheetViews>
    <sheetView workbookViewId="0">
      <selection activeCell="D8" sqref="D8"/>
    </sheetView>
  </sheetViews>
  <sheetFormatPr baseColWidth="10" defaultRowHeight="16" x14ac:dyDescent="0.2"/>
  <sheetData>
    <row r="1" spans="1:41" x14ac:dyDescent="0.2">
      <c r="A1" t="s">
        <v>405</v>
      </c>
      <c r="B1" t="s">
        <v>406</v>
      </c>
      <c r="C1" t="s">
        <v>407</v>
      </c>
      <c r="D1" t="s">
        <v>408</v>
      </c>
      <c r="E1" t="s">
        <v>409</v>
      </c>
      <c r="F1" t="s">
        <v>410</v>
      </c>
      <c r="G1" t="s">
        <v>411</v>
      </c>
      <c r="H1" t="s">
        <v>412</v>
      </c>
      <c r="I1" t="s">
        <v>413</v>
      </c>
      <c r="J1" t="s">
        <v>414</v>
      </c>
      <c r="K1" t="s">
        <v>415</v>
      </c>
      <c r="L1" t="s">
        <v>416</v>
      </c>
      <c r="M1" t="s">
        <v>417</v>
      </c>
      <c r="N1" t="s">
        <v>418</v>
      </c>
      <c r="O1" t="s">
        <v>419</v>
      </c>
      <c r="P1" t="s">
        <v>420</v>
      </c>
      <c r="Q1" t="s">
        <v>421</v>
      </c>
      <c r="R1" t="s">
        <v>422</v>
      </c>
      <c r="S1" t="s">
        <v>423</v>
      </c>
      <c r="T1" t="s">
        <v>424</v>
      </c>
      <c r="U1" t="s">
        <v>425</v>
      </c>
      <c r="V1" t="s">
        <v>426</v>
      </c>
      <c r="W1" t="s">
        <v>427</v>
      </c>
      <c r="X1" t="s">
        <v>428</v>
      </c>
      <c r="Y1" t="s">
        <v>429</v>
      </c>
      <c r="Z1" t="s">
        <v>430</v>
      </c>
      <c r="AA1" t="s">
        <v>431</v>
      </c>
      <c r="AB1" t="s">
        <v>432</v>
      </c>
      <c r="AC1" t="s">
        <v>433</v>
      </c>
      <c r="AD1" t="s">
        <v>434</v>
      </c>
      <c r="AE1" t="s">
        <v>435</v>
      </c>
      <c r="AF1" t="s">
        <v>436</v>
      </c>
      <c r="AG1" t="s">
        <v>437</v>
      </c>
      <c r="AH1" t="s">
        <v>438</v>
      </c>
      <c r="AI1" t="s">
        <v>439</v>
      </c>
      <c r="AJ1" t="s">
        <v>440</v>
      </c>
      <c r="AK1" t="s">
        <v>441</v>
      </c>
      <c r="AL1" t="s">
        <v>442</v>
      </c>
      <c r="AM1" t="s">
        <v>443</v>
      </c>
      <c r="AN1" t="s">
        <v>444</v>
      </c>
      <c r="AO1" t="s">
        <v>445</v>
      </c>
    </row>
    <row r="2" spans="1:41" x14ac:dyDescent="0.2">
      <c r="A2">
        <v>646320</v>
      </c>
      <c r="B2" t="s">
        <v>446</v>
      </c>
      <c r="C2" t="s">
        <v>447</v>
      </c>
      <c r="E2" t="s">
        <v>448</v>
      </c>
      <c r="F2">
        <v>54332</v>
      </c>
      <c r="G2">
        <v>70690</v>
      </c>
      <c r="H2" s="5">
        <v>46007.22828703704</v>
      </c>
      <c r="I2" s="5">
        <v>46007.262997685182</v>
      </c>
      <c r="J2">
        <v>49.98</v>
      </c>
      <c r="K2">
        <v>49.98</v>
      </c>
      <c r="L2" s="5">
        <v>46007.21875</v>
      </c>
      <c r="M2" s="5">
        <v>46007.262997685182</v>
      </c>
      <c r="N2" s="5">
        <v>46007.229780092595</v>
      </c>
      <c r="O2" s="5">
        <v>46007.254189814812</v>
      </c>
      <c r="P2">
        <v>8</v>
      </c>
      <c r="Q2">
        <v>8.6999999999999993</v>
      </c>
      <c r="R2">
        <v>8.6999999999999993</v>
      </c>
      <c r="S2">
        <v>0</v>
      </c>
      <c r="T2">
        <v>0</v>
      </c>
      <c r="U2">
        <v>0</v>
      </c>
      <c r="V2">
        <v>0</v>
      </c>
      <c r="Y2">
        <v>0</v>
      </c>
      <c r="Z2">
        <v>0</v>
      </c>
      <c r="AA2">
        <v>0</v>
      </c>
      <c r="AB2">
        <v>0</v>
      </c>
      <c r="AC2" t="s">
        <v>449</v>
      </c>
      <c r="AD2" t="s">
        <v>450</v>
      </c>
      <c r="AG2">
        <v>14796</v>
      </c>
      <c r="AH2">
        <v>636745</v>
      </c>
      <c r="AI2">
        <v>0</v>
      </c>
      <c r="AJ2" t="s">
        <v>451</v>
      </c>
      <c r="AK2" t="s">
        <v>452</v>
      </c>
      <c r="AL2" t="s">
        <v>453</v>
      </c>
      <c r="AN2" t="s">
        <v>454</v>
      </c>
      <c r="AO2">
        <v>20251216</v>
      </c>
    </row>
    <row r="3" spans="1:41" x14ac:dyDescent="0.2">
      <c r="A3">
        <v>647496</v>
      </c>
      <c r="B3" t="s">
        <v>455</v>
      </c>
      <c r="C3" t="s">
        <v>456</v>
      </c>
      <c r="D3" t="s">
        <v>457</v>
      </c>
      <c r="E3" t="s">
        <v>448</v>
      </c>
      <c r="F3">
        <v>54332</v>
      </c>
      <c r="G3">
        <v>70690</v>
      </c>
      <c r="H3" s="5">
        <v>46007.22828703704</v>
      </c>
      <c r="I3" s="5">
        <v>46007.262997685182</v>
      </c>
      <c r="J3">
        <v>49.98</v>
      </c>
      <c r="K3">
        <v>49.98</v>
      </c>
      <c r="L3" s="5">
        <v>46007.21875</v>
      </c>
      <c r="M3" s="5">
        <v>46007.262997685182</v>
      </c>
      <c r="N3" s="5">
        <v>46007.23</v>
      </c>
      <c r="O3" s="5">
        <v>46007.262997685182</v>
      </c>
      <c r="P3">
        <v>2</v>
      </c>
      <c r="Q3">
        <v>47.28</v>
      </c>
      <c r="R3">
        <v>47.28</v>
      </c>
      <c r="S3">
        <v>0</v>
      </c>
      <c r="T3">
        <v>0</v>
      </c>
      <c r="U3">
        <v>0</v>
      </c>
      <c r="V3">
        <v>11.07</v>
      </c>
      <c r="W3">
        <v>13</v>
      </c>
      <c r="X3">
        <v>13</v>
      </c>
      <c r="Y3">
        <v>0</v>
      </c>
      <c r="Z3">
        <v>0</v>
      </c>
      <c r="AA3">
        <v>0</v>
      </c>
      <c r="AB3">
        <v>0</v>
      </c>
      <c r="AC3" t="s">
        <v>458</v>
      </c>
      <c r="AD3" t="s">
        <v>459</v>
      </c>
      <c r="AE3" t="s">
        <v>460</v>
      </c>
      <c r="AF3" t="s">
        <v>461</v>
      </c>
      <c r="AG3">
        <v>14796</v>
      </c>
      <c r="AH3">
        <v>636745</v>
      </c>
      <c r="AI3">
        <v>0</v>
      </c>
      <c r="AJ3" t="s">
        <v>451</v>
      </c>
      <c r="AK3" t="s">
        <v>452</v>
      </c>
      <c r="AL3" t="s">
        <v>462</v>
      </c>
      <c r="AN3" t="s">
        <v>463</v>
      </c>
      <c r="AO3">
        <v>20251216</v>
      </c>
    </row>
    <row r="4" spans="1:41" x14ac:dyDescent="0.2">
      <c r="A4">
        <v>647504</v>
      </c>
      <c r="B4" t="s">
        <v>464</v>
      </c>
      <c r="C4" t="s">
        <v>456</v>
      </c>
      <c r="D4" t="s">
        <v>457</v>
      </c>
      <c r="E4" t="s">
        <v>448</v>
      </c>
      <c r="F4">
        <v>54332</v>
      </c>
      <c r="G4">
        <v>70690</v>
      </c>
      <c r="H4" s="5">
        <v>46007.22828703704</v>
      </c>
      <c r="I4" s="5">
        <v>46007.262997685182</v>
      </c>
      <c r="J4">
        <v>49.98</v>
      </c>
      <c r="K4">
        <v>49.98</v>
      </c>
      <c r="L4" s="5">
        <v>46007.21875</v>
      </c>
      <c r="M4" s="5">
        <v>46007.262997685182</v>
      </c>
      <c r="N4" s="5">
        <v>46007.228981481479</v>
      </c>
      <c r="O4" s="5">
        <v>46007.262997685182</v>
      </c>
      <c r="P4">
        <v>2</v>
      </c>
      <c r="Q4">
        <v>48.8</v>
      </c>
      <c r="R4">
        <v>48.8</v>
      </c>
      <c r="S4">
        <v>0</v>
      </c>
      <c r="T4">
        <v>0</v>
      </c>
      <c r="U4">
        <v>0</v>
      </c>
      <c r="V4">
        <v>6.18</v>
      </c>
      <c r="W4">
        <v>1</v>
      </c>
      <c r="X4">
        <v>1</v>
      </c>
      <c r="Y4">
        <v>0</v>
      </c>
      <c r="Z4">
        <v>0</v>
      </c>
      <c r="AA4">
        <v>0</v>
      </c>
      <c r="AB4">
        <v>0</v>
      </c>
      <c r="AC4" t="s">
        <v>458</v>
      </c>
      <c r="AD4" t="s">
        <v>465</v>
      </c>
      <c r="AE4" t="s">
        <v>466</v>
      </c>
      <c r="AF4" t="s">
        <v>467</v>
      </c>
      <c r="AG4">
        <v>14796</v>
      </c>
      <c r="AH4">
        <v>636745</v>
      </c>
      <c r="AI4">
        <v>0</v>
      </c>
      <c r="AJ4" t="s">
        <v>451</v>
      </c>
      <c r="AK4" t="s">
        <v>452</v>
      </c>
      <c r="AL4" t="s">
        <v>468</v>
      </c>
      <c r="AN4" t="s">
        <v>469</v>
      </c>
      <c r="AO4">
        <v>20251216</v>
      </c>
    </row>
    <row r="5" spans="1:41" x14ac:dyDescent="0.2">
      <c r="A5">
        <v>652934</v>
      </c>
      <c r="B5" t="s">
        <v>470</v>
      </c>
      <c r="C5" t="s">
        <v>456</v>
      </c>
      <c r="D5" t="s">
        <v>457</v>
      </c>
      <c r="E5" t="s">
        <v>448</v>
      </c>
      <c r="F5">
        <v>54332</v>
      </c>
      <c r="G5">
        <v>70690</v>
      </c>
      <c r="H5" s="5">
        <v>46007.22828703704</v>
      </c>
      <c r="I5" s="5">
        <v>46007.262997685182</v>
      </c>
      <c r="J5">
        <v>49.98</v>
      </c>
      <c r="K5">
        <v>49.98</v>
      </c>
      <c r="L5" s="5">
        <v>46007.21875</v>
      </c>
      <c r="M5" s="5">
        <v>46007.262997685182</v>
      </c>
      <c r="N5" s="5">
        <v>46007.228981481479</v>
      </c>
      <c r="O5" s="5">
        <v>46007.260266203702</v>
      </c>
      <c r="P5">
        <v>1</v>
      </c>
      <c r="Q5">
        <v>45.05</v>
      </c>
      <c r="R5">
        <v>45.05</v>
      </c>
      <c r="S5">
        <v>0</v>
      </c>
      <c r="T5">
        <v>0</v>
      </c>
      <c r="U5">
        <v>0</v>
      </c>
      <c r="V5">
        <v>14.07</v>
      </c>
      <c r="W5">
        <v>12</v>
      </c>
      <c r="X5">
        <v>12</v>
      </c>
      <c r="Y5">
        <v>6</v>
      </c>
      <c r="Z5">
        <v>0</v>
      </c>
      <c r="AA5">
        <v>0</v>
      </c>
      <c r="AB5">
        <v>0</v>
      </c>
      <c r="AC5" t="s">
        <v>458</v>
      </c>
      <c r="AD5" t="s">
        <v>471</v>
      </c>
      <c r="AE5" t="s">
        <v>472</v>
      </c>
      <c r="AF5" t="s">
        <v>473</v>
      </c>
      <c r="AG5">
        <v>14796</v>
      </c>
      <c r="AH5">
        <v>636745</v>
      </c>
      <c r="AI5">
        <v>0</v>
      </c>
      <c r="AJ5" t="s">
        <v>451</v>
      </c>
      <c r="AK5" t="s">
        <v>452</v>
      </c>
      <c r="AL5" t="s">
        <v>462</v>
      </c>
      <c r="AN5" t="s">
        <v>463</v>
      </c>
      <c r="AO5">
        <v>20251216</v>
      </c>
    </row>
    <row r="6" spans="1:41" x14ac:dyDescent="0.2">
      <c r="A6">
        <v>652929</v>
      </c>
      <c r="B6" t="s">
        <v>474</v>
      </c>
      <c r="C6" t="s">
        <v>456</v>
      </c>
      <c r="D6" t="s">
        <v>457</v>
      </c>
      <c r="E6" t="s">
        <v>448</v>
      </c>
      <c r="F6">
        <v>54332</v>
      </c>
      <c r="G6">
        <v>70690</v>
      </c>
      <c r="H6" s="5">
        <v>46007.22828703704</v>
      </c>
      <c r="I6" s="5">
        <v>46007.262997685182</v>
      </c>
      <c r="J6">
        <v>49.98</v>
      </c>
      <c r="K6">
        <v>49.98</v>
      </c>
      <c r="L6" s="5">
        <v>46007.21875</v>
      </c>
      <c r="M6" s="5">
        <v>46007.262997685182</v>
      </c>
      <c r="N6" s="5">
        <v>46007.229803240742</v>
      </c>
      <c r="O6" s="5">
        <v>46007.262997685182</v>
      </c>
      <c r="P6">
        <v>1</v>
      </c>
      <c r="Q6">
        <v>47.8</v>
      </c>
      <c r="R6">
        <v>47.8</v>
      </c>
      <c r="S6">
        <v>0</v>
      </c>
      <c r="T6">
        <v>0</v>
      </c>
      <c r="U6">
        <v>0</v>
      </c>
      <c r="V6">
        <v>19.03</v>
      </c>
      <c r="W6">
        <v>0</v>
      </c>
      <c r="X6">
        <v>0</v>
      </c>
      <c r="Y6">
        <v>0</v>
      </c>
      <c r="Z6">
        <v>0</v>
      </c>
      <c r="AA6">
        <v>0</v>
      </c>
      <c r="AB6">
        <v>0</v>
      </c>
      <c r="AC6" t="s">
        <v>458</v>
      </c>
      <c r="AD6" t="s">
        <v>475</v>
      </c>
      <c r="AE6" t="s">
        <v>476</v>
      </c>
      <c r="AF6" t="s">
        <v>461</v>
      </c>
      <c r="AG6">
        <v>14796</v>
      </c>
      <c r="AH6">
        <v>636745</v>
      </c>
      <c r="AI6">
        <v>0</v>
      </c>
      <c r="AJ6" t="s">
        <v>451</v>
      </c>
      <c r="AK6" t="s">
        <v>452</v>
      </c>
      <c r="AL6" t="s">
        <v>468</v>
      </c>
      <c r="AN6" t="s">
        <v>469</v>
      </c>
      <c r="AO6">
        <v>20251216</v>
      </c>
    </row>
    <row r="7" spans="1:41" x14ac:dyDescent="0.2">
      <c r="A7">
        <v>652958</v>
      </c>
      <c r="B7" t="s">
        <v>477</v>
      </c>
      <c r="C7" t="s">
        <v>456</v>
      </c>
      <c r="D7" t="s">
        <v>457</v>
      </c>
      <c r="E7" t="s">
        <v>448</v>
      </c>
      <c r="F7">
        <v>54332</v>
      </c>
      <c r="G7">
        <v>70690</v>
      </c>
      <c r="H7" s="5">
        <v>46007.22828703704</v>
      </c>
      <c r="I7" s="5">
        <v>46007.262997685182</v>
      </c>
      <c r="J7">
        <v>49.98</v>
      </c>
      <c r="K7">
        <v>49.98</v>
      </c>
      <c r="L7" s="5">
        <v>46007.21875</v>
      </c>
      <c r="M7" s="5">
        <v>46007.262997685182</v>
      </c>
      <c r="N7" s="5">
        <v>46007.240289351852</v>
      </c>
      <c r="O7" s="5">
        <v>46007.257662037038</v>
      </c>
      <c r="P7">
        <v>9</v>
      </c>
      <c r="Q7">
        <v>19.07</v>
      </c>
      <c r="R7">
        <v>19.07</v>
      </c>
      <c r="S7">
        <v>0</v>
      </c>
      <c r="T7">
        <v>0</v>
      </c>
      <c r="U7">
        <v>0</v>
      </c>
      <c r="V7">
        <v>4.66</v>
      </c>
      <c r="W7">
        <v>8</v>
      </c>
      <c r="X7">
        <v>8</v>
      </c>
      <c r="Y7">
        <v>1</v>
      </c>
      <c r="Z7">
        <v>0</v>
      </c>
      <c r="AA7">
        <v>0</v>
      </c>
      <c r="AB7">
        <v>0</v>
      </c>
      <c r="AC7" t="s">
        <v>458</v>
      </c>
      <c r="AD7" t="s">
        <v>478</v>
      </c>
      <c r="AE7" t="s">
        <v>479</v>
      </c>
      <c r="AF7" t="s">
        <v>461</v>
      </c>
      <c r="AG7">
        <v>14796</v>
      </c>
      <c r="AH7">
        <v>636745</v>
      </c>
      <c r="AI7">
        <v>0</v>
      </c>
      <c r="AJ7" t="s">
        <v>451</v>
      </c>
      <c r="AK7" t="s">
        <v>452</v>
      </c>
      <c r="AL7" t="s">
        <v>480</v>
      </c>
      <c r="AM7" t="s">
        <v>481</v>
      </c>
      <c r="AN7" t="s">
        <v>482</v>
      </c>
      <c r="AO7">
        <v>20251216</v>
      </c>
    </row>
    <row r="8" spans="1:41" x14ac:dyDescent="0.2">
      <c r="A8">
        <v>647404</v>
      </c>
      <c r="B8" t="s">
        <v>483</v>
      </c>
      <c r="C8" t="s">
        <v>456</v>
      </c>
      <c r="D8" t="s">
        <v>457</v>
      </c>
      <c r="E8" t="s">
        <v>448</v>
      </c>
      <c r="F8">
        <v>54332</v>
      </c>
      <c r="G8">
        <v>70690</v>
      </c>
      <c r="H8" s="5">
        <v>46007.22828703704</v>
      </c>
      <c r="I8" s="5">
        <v>46007.262997685182</v>
      </c>
      <c r="J8">
        <v>49.98</v>
      </c>
      <c r="K8">
        <v>49.98</v>
      </c>
      <c r="L8" s="5">
        <v>46007.21875</v>
      </c>
      <c r="M8" s="5">
        <v>46007.262997685182</v>
      </c>
      <c r="N8" s="5">
        <v>46007.228958333333</v>
      </c>
      <c r="O8" s="5">
        <v>46007.262997685182</v>
      </c>
      <c r="P8">
        <v>2</v>
      </c>
      <c r="Q8">
        <v>44</v>
      </c>
      <c r="R8">
        <v>44</v>
      </c>
      <c r="S8">
        <v>0</v>
      </c>
      <c r="T8">
        <v>0</v>
      </c>
      <c r="U8">
        <v>0</v>
      </c>
      <c r="V8">
        <v>17.350000000000001</v>
      </c>
      <c r="W8">
        <v>11</v>
      </c>
      <c r="X8">
        <v>11</v>
      </c>
      <c r="Y8">
        <v>0</v>
      </c>
      <c r="Z8">
        <v>1</v>
      </c>
      <c r="AA8">
        <v>1</v>
      </c>
      <c r="AB8">
        <v>0</v>
      </c>
      <c r="AC8" t="s">
        <v>458</v>
      </c>
      <c r="AD8" t="s">
        <v>484</v>
      </c>
      <c r="AE8" t="s">
        <v>485</v>
      </c>
      <c r="AF8" t="s">
        <v>486</v>
      </c>
      <c r="AG8">
        <v>14796</v>
      </c>
      <c r="AH8">
        <v>636745</v>
      </c>
      <c r="AI8">
        <v>0</v>
      </c>
      <c r="AJ8" t="s">
        <v>451</v>
      </c>
      <c r="AK8" t="s">
        <v>452</v>
      </c>
      <c r="AL8" t="s">
        <v>453</v>
      </c>
      <c r="AN8" t="s">
        <v>454</v>
      </c>
      <c r="AO8">
        <v>20251216</v>
      </c>
    </row>
    <row r="9" spans="1:41" x14ac:dyDescent="0.2">
      <c r="A9">
        <v>647411</v>
      </c>
      <c r="B9" t="s">
        <v>487</v>
      </c>
      <c r="C9" t="s">
        <v>456</v>
      </c>
      <c r="D9" t="s">
        <v>488</v>
      </c>
      <c r="E9" t="s">
        <v>448</v>
      </c>
      <c r="F9">
        <v>54332</v>
      </c>
      <c r="G9">
        <v>70690</v>
      </c>
      <c r="H9" s="5">
        <v>46007.22828703704</v>
      </c>
      <c r="I9" s="5">
        <v>46007.262997685182</v>
      </c>
      <c r="J9">
        <v>49.98</v>
      </c>
      <c r="K9">
        <v>49.98</v>
      </c>
      <c r="L9" s="5">
        <v>46007.21875</v>
      </c>
      <c r="M9" s="5">
        <v>46007.262997685182</v>
      </c>
      <c r="N9" s="5">
        <v>46007.228912037041</v>
      </c>
      <c r="O9" s="5">
        <v>46007.258622685185</v>
      </c>
      <c r="P9">
        <v>10</v>
      </c>
      <c r="Q9">
        <v>41.22</v>
      </c>
      <c r="R9">
        <v>41.22</v>
      </c>
      <c r="S9">
        <v>0</v>
      </c>
      <c r="T9">
        <v>0</v>
      </c>
      <c r="U9">
        <v>0</v>
      </c>
      <c r="V9">
        <v>23.63</v>
      </c>
      <c r="W9">
        <v>9</v>
      </c>
      <c r="X9">
        <v>9</v>
      </c>
      <c r="Y9">
        <v>14</v>
      </c>
      <c r="Z9">
        <v>5</v>
      </c>
      <c r="AA9">
        <v>8</v>
      </c>
      <c r="AB9">
        <v>0</v>
      </c>
      <c r="AC9" t="s">
        <v>458</v>
      </c>
      <c r="AD9" t="s">
        <v>489</v>
      </c>
      <c r="AE9" t="s">
        <v>490</v>
      </c>
      <c r="AF9" t="s">
        <v>461</v>
      </c>
      <c r="AG9">
        <v>14796</v>
      </c>
      <c r="AH9">
        <v>636745</v>
      </c>
      <c r="AI9">
        <v>0</v>
      </c>
      <c r="AJ9" t="s">
        <v>451</v>
      </c>
      <c r="AK9" t="s">
        <v>452</v>
      </c>
      <c r="AL9" t="s">
        <v>453</v>
      </c>
      <c r="AN9" t="s">
        <v>454</v>
      </c>
      <c r="AO9">
        <v>20251216</v>
      </c>
    </row>
    <row r="10" spans="1:41" x14ac:dyDescent="0.2">
      <c r="A10">
        <v>646388</v>
      </c>
      <c r="B10" t="s">
        <v>491</v>
      </c>
      <c r="C10" t="s">
        <v>447</v>
      </c>
      <c r="E10" t="s">
        <v>448</v>
      </c>
      <c r="F10">
        <v>54332</v>
      </c>
      <c r="G10">
        <v>70690</v>
      </c>
      <c r="H10" s="5">
        <v>46007.22828703704</v>
      </c>
      <c r="I10" s="5">
        <v>46007.262997685182</v>
      </c>
      <c r="J10">
        <v>49.98</v>
      </c>
      <c r="K10">
        <v>49.98</v>
      </c>
      <c r="L10" s="5">
        <v>46007.21875</v>
      </c>
      <c r="M10" s="5">
        <v>46007.262997685182</v>
      </c>
      <c r="N10" s="5">
        <v>46007.219108796293</v>
      </c>
      <c r="O10" s="5">
        <v>46007.234340277777</v>
      </c>
      <c r="P10">
        <v>2</v>
      </c>
      <c r="Q10">
        <v>0.33</v>
      </c>
      <c r="R10">
        <v>0.22</v>
      </c>
      <c r="S10">
        <v>0.12</v>
      </c>
      <c r="T10">
        <v>0</v>
      </c>
      <c r="U10">
        <v>0.12</v>
      </c>
      <c r="V10">
        <v>0</v>
      </c>
      <c r="Y10">
        <v>0</v>
      </c>
      <c r="Z10">
        <v>0</v>
      </c>
      <c r="AA10">
        <v>0</v>
      </c>
      <c r="AB10">
        <v>0</v>
      </c>
      <c r="AC10" t="s">
        <v>449</v>
      </c>
      <c r="AD10" t="s">
        <v>492</v>
      </c>
      <c r="AG10">
        <v>14796</v>
      </c>
      <c r="AH10">
        <v>636745</v>
      </c>
      <c r="AI10">
        <v>0</v>
      </c>
      <c r="AJ10" t="s">
        <v>451</v>
      </c>
      <c r="AK10" t="s">
        <v>452</v>
      </c>
      <c r="AL10" t="s">
        <v>491</v>
      </c>
      <c r="AN10" t="s">
        <v>493</v>
      </c>
      <c r="AO10">
        <v>20251216</v>
      </c>
    </row>
    <row r="11" spans="1:41" x14ac:dyDescent="0.2">
      <c r="A11">
        <v>647295</v>
      </c>
      <c r="B11" t="s">
        <v>494</v>
      </c>
      <c r="C11" t="s">
        <v>456</v>
      </c>
      <c r="D11" t="s">
        <v>457</v>
      </c>
      <c r="E11" t="s">
        <v>448</v>
      </c>
      <c r="F11">
        <v>54332</v>
      </c>
      <c r="G11">
        <v>70690</v>
      </c>
      <c r="H11" s="5">
        <v>46007.22828703704</v>
      </c>
      <c r="I11" s="5">
        <v>46007.262997685182</v>
      </c>
      <c r="J11">
        <v>49.98</v>
      </c>
      <c r="K11">
        <v>49.98</v>
      </c>
      <c r="L11" s="5">
        <v>46007.21875</v>
      </c>
      <c r="M11" s="5">
        <v>46007.262997685182</v>
      </c>
      <c r="N11" s="5">
        <v>46007.224039351851</v>
      </c>
      <c r="O11" s="5">
        <v>46007.262997685182</v>
      </c>
      <c r="P11">
        <v>2</v>
      </c>
      <c r="Q11">
        <v>49.25</v>
      </c>
      <c r="R11">
        <v>44.13</v>
      </c>
      <c r="S11">
        <v>5.12</v>
      </c>
      <c r="T11">
        <v>0</v>
      </c>
      <c r="U11">
        <v>5.12</v>
      </c>
      <c r="V11">
        <v>1.49</v>
      </c>
      <c r="W11">
        <v>0</v>
      </c>
      <c r="X11">
        <v>0</v>
      </c>
      <c r="Y11">
        <v>0</v>
      </c>
      <c r="Z11">
        <v>0</v>
      </c>
      <c r="AA11">
        <v>0</v>
      </c>
      <c r="AB11">
        <v>0</v>
      </c>
      <c r="AC11" t="s">
        <v>458</v>
      </c>
      <c r="AD11" t="s">
        <v>495</v>
      </c>
      <c r="AE11" t="s">
        <v>496</v>
      </c>
      <c r="AF11" t="s">
        <v>461</v>
      </c>
      <c r="AG11">
        <v>14796</v>
      </c>
      <c r="AH11">
        <v>636745</v>
      </c>
      <c r="AI11">
        <v>0</v>
      </c>
      <c r="AJ11" t="s">
        <v>451</v>
      </c>
      <c r="AK11" t="s">
        <v>452</v>
      </c>
      <c r="AL11" t="s">
        <v>491</v>
      </c>
      <c r="AN11" t="s">
        <v>493</v>
      </c>
      <c r="AO11">
        <v>20251216</v>
      </c>
    </row>
    <row r="12" spans="1:41" x14ac:dyDescent="0.2">
      <c r="A12">
        <v>652940</v>
      </c>
      <c r="B12" t="s">
        <v>497</v>
      </c>
      <c r="C12" t="s">
        <v>456</v>
      </c>
      <c r="E12" t="s">
        <v>448</v>
      </c>
      <c r="F12">
        <v>54332</v>
      </c>
      <c r="G12">
        <v>70690</v>
      </c>
      <c r="H12" s="5">
        <v>46007.22828703704</v>
      </c>
      <c r="I12" s="5">
        <v>46007.262997685182</v>
      </c>
      <c r="J12">
        <v>49.98</v>
      </c>
      <c r="K12">
        <v>49.98</v>
      </c>
      <c r="L12" s="5">
        <v>46007.21875</v>
      </c>
      <c r="M12" s="5">
        <v>46007.262997685182</v>
      </c>
      <c r="N12" s="5">
        <v>46007.240891203706</v>
      </c>
      <c r="O12" s="5">
        <v>46007.259780092594</v>
      </c>
      <c r="P12">
        <v>1</v>
      </c>
      <c r="Q12">
        <v>27.2</v>
      </c>
      <c r="R12">
        <v>27.2</v>
      </c>
      <c r="S12">
        <v>0</v>
      </c>
      <c r="T12">
        <v>0</v>
      </c>
      <c r="U12">
        <v>0</v>
      </c>
      <c r="V12">
        <v>5.51</v>
      </c>
      <c r="W12">
        <v>6</v>
      </c>
      <c r="X12">
        <v>6</v>
      </c>
      <c r="Y12">
        <v>0</v>
      </c>
      <c r="Z12">
        <v>0</v>
      </c>
      <c r="AA12">
        <v>0</v>
      </c>
      <c r="AB12">
        <v>0</v>
      </c>
      <c r="AC12" t="s">
        <v>458</v>
      </c>
      <c r="AD12" t="s">
        <v>498</v>
      </c>
      <c r="AE12" t="s">
        <v>499</v>
      </c>
      <c r="AF12" t="s">
        <v>500</v>
      </c>
      <c r="AG12">
        <v>14796</v>
      </c>
      <c r="AH12">
        <v>636745</v>
      </c>
      <c r="AI12">
        <v>0</v>
      </c>
      <c r="AJ12" t="s">
        <v>451</v>
      </c>
      <c r="AK12" t="s">
        <v>452</v>
      </c>
      <c r="AL12" t="s">
        <v>462</v>
      </c>
      <c r="AN12" t="s">
        <v>463</v>
      </c>
      <c r="AO12">
        <v>20251216</v>
      </c>
    </row>
    <row r="13" spans="1:41" x14ac:dyDescent="0.2">
      <c r="A13">
        <v>647426</v>
      </c>
      <c r="B13" t="s">
        <v>501</v>
      </c>
      <c r="C13" t="s">
        <v>456</v>
      </c>
      <c r="D13" t="s">
        <v>488</v>
      </c>
      <c r="E13" t="s">
        <v>448</v>
      </c>
      <c r="F13">
        <v>54332</v>
      </c>
      <c r="G13">
        <v>70690</v>
      </c>
      <c r="H13" s="5">
        <v>46007.22828703704</v>
      </c>
      <c r="I13" s="5">
        <v>46007.262997685182</v>
      </c>
      <c r="J13">
        <v>49.98</v>
      </c>
      <c r="K13">
        <v>49.98</v>
      </c>
      <c r="L13" s="5">
        <v>46007.21875</v>
      </c>
      <c r="M13" s="5">
        <v>46007.262997685182</v>
      </c>
      <c r="N13" s="5">
        <v>46007.229803240742</v>
      </c>
      <c r="O13" s="5">
        <v>46007.260868055557</v>
      </c>
      <c r="P13">
        <v>3</v>
      </c>
      <c r="Q13">
        <v>44.63</v>
      </c>
      <c r="R13">
        <v>44.63</v>
      </c>
      <c r="S13">
        <v>0</v>
      </c>
      <c r="T13">
        <v>0</v>
      </c>
      <c r="U13">
        <v>0</v>
      </c>
      <c r="V13">
        <v>11.75</v>
      </c>
      <c r="W13">
        <v>13</v>
      </c>
      <c r="X13">
        <v>13</v>
      </c>
      <c r="Y13">
        <v>3</v>
      </c>
      <c r="Z13">
        <v>0</v>
      </c>
      <c r="AA13">
        <v>0</v>
      </c>
      <c r="AB13">
        <v>0</v>
      </c>
      <c r="AC13" t="s">
        <v>458</v>
      </c>
      <c r="AD13" t="s">
        <v>502</v>
      </c>
      <c r="AE13" t="s">
        <v>503</v>
      </c>
      <c r="AF13" t="s">
        <v>504</v>
      </c>
      <c r="AG13">
        <v>14796</v>
      </c>
      <c r="AH13">
        <v>636745</v>
      </c>
      <c r="AI13">
        <v>0</v>
      </c>
      <c r="AJ13" t="s">
        <v>451</v>
      </c>
      <c r="AK13" t="s">
        <v>452</v>
      </c>
      <c r="AL13" t="s">
        <v>453</v>
      </c>
      <c r="AN13" t="s">
        <v>454</v>
      </c>
      <c r="AO13">
        <v>20251216</v>
      </c>
    </row>
    <row r="14" spans="1:41" x14ac:dyDescent="0.2">
      <c r="A14">
        <v>679059</v>
      </c>
      <c r="B14" t="s">
        <v>505</v>
      </c>
      <c r="C14" t="s">
        <v>447</v>
      </c>
      <c r="E14" t="s">
        <v>448</v>
      </c>
      <c r="F14">
        <v>54332</v>
      </c>
      <c r="G14">
        <v>70690</v>
      </c>
      <c r="H14" s="5">
        <v>46007.22828703704</v>
      </c>
      <c r="I14" s="5">
        <v>46007.262997685182</v>
      </c>
      <c r="J14">
        <v>49.98</v>
      </c>
      <c r="K14">
        <v>49.98</v>
      </c>
      <c r="L14" s="5">
        <v>46007.21875</v>
      </c>
      <c r="M14" s="5">
        <v>46007.262997685182</v>
      </c>
      <c r="N14" s="5">
        <v>46007.233472222222</v>
      </c>
      <c r="O14" s="5">
        <v>46007.26152777778</v>
      </c>
      <c r="P14">
        <v>16</v>
      </c>
      <c r="Q14">
        <v>28.93</v>
      </c>
      <c r="R14">
        <v>28.93</v>
      </c>
      <c r="S14">
        <v>0</v>
      </c>
      <c r="T14">
        <v>0</v>
      </c>
      <c r="U14">
        <v>0</v>
      </c>
      <c r="V14">
        <v>0</v>
      </c>
      <c r="Y14">
        <v>0</v>
      </c>
      <c r="Z14">
        <v>0</v>
      </c>
      <c r="AA14">
        <v>0</v>
      </c>
      <c r="AB14">
        <v>0</v>
      </c>
      <c r="AC14" t="s">
        <v>449</v>
      </c>
      <c r="AD14" t="s">
        <v>506</v>
      </c>
      <c r="AG14">
        <v>14796</v>
      </c>
      <c r="AH14">
        <v>636745</v>
      </c>
      <c r="AI14">
        <v>0</v>
      </c>
      <c r="AJ14" t="s">
        <v>451</v>
      </c>
      <c r="AK14" t="s">
        <v>452</v>
      </c>
      <c r="AL14" t="s">
        <v>505</v>
      </c>
      <c r="AM14" t="s">
        <v>505</v>
      </c>
      <c r="AN14" t="s">
        <v>507</v>
      </c>
      <c r="AO14">
        <v>20251216</v>
      </c>
    </row>
    <row r="15" spans="1:41" x14ac:dyDescent="0.2">
      <c r="A15">
        <v>648953</v>
      </c>
      <c r="B15" t="s">
        <v>508</v>
      </c>
      <c r="C15" t="s">
        <v>456</v>
      </c>
      <c r="D15" t="s">
        <v>457</v>
      </c>
      <c r="E15" t="s">
        <v>448</v>
      </c>
      <c r="F15">
        <v>54332</v>
      </c>
      <c r="G15">
        <v>70690</v>
      </c>
      <c r="H15" s="5">
        <v>46007.22828703704</v>
      </c>
      <c r="I15" s="5">
        <v>46007.262997685182</v>
      </c>
      <c r="J15">
        <v>49.98</v>
      </c>
      <c r="K15">
        <v>49.98</v>
      </c>
      <c r="L15" s="5">
        <v>46007.21875</v>
      </c>
      <c r="M15" s="5">
        <v>46007.262997685182</v>
      </c>
      <c r="N15" s="5">
        <v>46007.229525462964</v>
      </c>
      <c r="O15" s="5">
        <v>46007.262997685182</v>
      </c>
      <c r="P15">
        <v>2</v>
      </c>
      <c r="Q15">
        <v>48.13</v>
      </c>
      <c r="R15">
        <v>48.13</v>
      </c>
      <c r="S15">
        <v>0</v>
      </c>
      <c r="T15">
        <v>0</v>
      </c>
      <c r="U15">
        <v>0</v>
      </c>
      <c r="V15">
        <v>12.45</v>
      </c>
      <c r="W15">
        <v>11</v>
      </c>
      <c r="X15">
        <v>11</v>
      </c>
      <c r="Y15">
        <v>0</v>
      </c>
      <c r="Z15">
        <v>0</v>
      </c>
      <c r="AA15">
        <v>0</v>
      </c>
      <c r="AB15">
        <v>0</v>
      </c>
      <c r="AC15" t="s">
        <v>458</v>
      </c>
      <c r="AD15" t="s">
        <v>509</v>
      </c>
      <c r="AE15" t="s">
        <v>510</v>
      </c>
      <c r="AF15" t="s">
        <v>461</v>
      </c>
      <c r="AG15">
        <v>14796</v>
      </c>
      <c r="AH15">
        <v>636745</v>
      </c>
      <c r="AI15">
        <v>0</v>
      </c>
      <c r="AJ15" t="s">
        <v>451</v>
      </c>
      <c r="AK15" t="s">
        <v>452</v>
      </c>
      <c r="AL15" t="s">
        <v>491</v>
      </c>
      <c r="AN15" t="s">
        <v>493</v>
      </c>
      <c r="AO15">
        <v>20251216</v>
      </c>
    </row>
    <row r="16" spans="1:41" x14ac:dyDescent="0.2">
      <c r="A16">
        <v>648951</v>
      </c>
      <c r="B16" t="s">
        <v>511</v>
      </c>
      <c r="C16" t="s">
        <v>456</v>
      </c>
      <c r="D16" t="s">
        <v>488</v>
      </c>
      <c r="E16" t="s">
        <v>448</v>
      </c>
      <c r="F16">
        <v>54332</v>
      </c>
      <c r="G16">
        <v>70690</v>
      </c>
      <c r="H16" s="5">
        <v>46007.22828703704</v>
      </c>
      <c r="I16" s="5">
        <v>46007.262997685182</v>
      </c>
      <c r="J16">
        <v>49.98</v>
      </c>
      <c r="K16">
        <v>49.98</v>
      </c>
      <c r="L16" s="5">
        <v>46007.21875</v>
      </c>
      <c r="M16" s="5">
        <v>46007.262997685182</v>
      </c>
      <c r="N16" s="5">
        <v>46007.254699074074</v>
      </c>
      <c r="O16" s="5">
        <v>46007.262997685182</v>
      </c>
      <c r="P16">
        <v>1</v>
      </c>
      <c r="Q16">
        <v>11.95</v>
      </c>
      <c r="R16">
        <v>11.95</v>
      </c>
      <c r="S16">
        <v>0</v>
      </c>
      <c r="T16">
        <v>0</v>
      </c>
      <c r="U16">
        <v>0</v>
      </c>
      <c r="V16">
        <v>4.08</v>
      </c>
      <c r="W16">
        <v>8</v>
      </c>
      <c r="X16">
        <v>8</v>
      </c>
      <c r="Y16">
        <v>1</v>
      </c>
      <c r="Z16">
        <v>0</v>
      </c>
      <c r="AA16">
        <v>0</v>
      </c>
      <c r="AB16">
        <v>0</v>
      </c>
      <c r="AC16" t="s">
        <v>458</v>
      </c>
      <c r="AD16" t="s">
        <v>512</v>
      </c>
      <c r="AE16" t="s">
        <v>513</v>
      </c>
      <c r="AF16" t="s">
        <v>514</v>
      </c>
      <c r="AG16">
        <v>14796</v>
      </c>
      <c r="AH16">
        <v>636745</v>
      </c>
      <c r="AI16">
        <v>0</v>
      </c>
      <c r="AJ16" t="s">
        <v>451</v>
      </c>
      <c r="AK16" t="s">
        <v>452</v>
      </c>
      <c r="AL16" t="s">
        <v>491</v>
      </c>
      <c r="AN16" t="s">
        <v>493</v>
      </c>
      <c r="AO16">
        <v>20251216</v>
      </c>
    </row>
    <row r="17" spans="1:41" x14ac:dyDescent="0.2">
      <c r="A17">
        <v>657525</v>
      </c>
      <c r="B17" t="s">
        <v>515</v>
      </c>
      <c r="C17" t="s">
        <v>456</v>
      </c>
      <c r="D17" t="s">
        <v>516</v>
      </c>
      <c r="E17" t="s">
        <v>448</v>
      </c>
      <c r="F17">
        <v>54332</v>
      </c>
      <c r="G17">
        <v>70690</v>
      </c>
      <c r="H17" s="5">
        <v>46007.22828703704</v>
      </c>
      <c r="I17" s="5">
        <v>46007.262997685182</v>
      </c>
      <c r="J17">
        <v>49.98</v>
      </c>
      <c r="K17">
        <v>49.98</v>
      </c>
      <c r="L17" s="5">
        <v>46007.21875</v>
      </c>
      <c r="M17" s="5">
        <v>46007.262997685182</v>
      </c>
      <c r="N17" s="5">
        <v>46007.229803240742</v>
      </c>
      <c r="O17" s="5">
        <v>46007.262997685182</v>
      </c>
      <c r="P17">
        <v>1</v>
      </c>
      <c r="Q17">
        <v>47.8</v>
      </c>
      <c r="R17">
        <v>47.8</v>
      </c>
      <c r="S17">
        <v>0</v>
      </c>
      <c r="T17">
        <v>0</v>
      </c>
      <c r="U17">
        <v>0</v>
      </c>
      <c r="V17">
        <v>17.260000000000002</v>
      </c>
      <c r="W17">
        <v>13</v>
      </c>
      <c r="X17">
        <v>13</v>
      </c>
      <c r="Y17">
        <v>4</v>
      </c>
      <c r="Z17">
        <v>1</v>
      </c>
      <c r="AA17">
        <v>0</v>
      </c>
      <c r="AB17">
        <v>0</v>
      </c>
      <c r="AC17" t="s">
        <v>458</v>
      </c>
      <c r="AD17" t="s">
        <v>517</v>
      </c>
      <c r="AE17" t="s">
        <v>518</v>
      </c>
      <c r="AF17" t="s">
        <v>519</v>
      </c>
      <c r="AG17">
        <v>14796</v>
      </c>
      <c r="AH17">
        <v>636745</v>
      </c>
      <c r="AI17">
        <v>0</v>
      </c>
      <c r="AJ17" t="s">
        <v>451</v>
      </c>
      <c r="AK17" t="s">
        <v>452</v>
      </c>
      <c r="AL17" t="s">
        <v>462</v>
      </c>
      <c r="AN17" t="s">
        <v>463</v>
      </c>
      <c r="AO17">
        <v>20251216</v>
      </c>
    </row>
    <row r="18" spans="1:41" x14ac:dyDescent="0.2">
      <c r="A18">
        <v>647306</v>
      </c>
      <c r="B18" t="s">
        <v>520</v>
      </c>
      <c r="C18" t="s">
        <v>456</v>
      </c>
      <c r="D18" t="s">
        <v>457</v>
      </c>
      <c r="E18" t="s">
        <v>448</v>
      </c>
      <c r="F18">
        <v>54332</v>
      </c>
      <c r="G18">
        <v>70690</v>
      </c>
      <c r="H18" s="5">
        <v>46007.22828703704</v>
      </c>
      <c r="I18" s="5">
        <v>46007.262997685182</v>
      </c>
      <c r="J18">
        <v>49.98</v>
      </c>
      <c r="K18">
        <v>49.98</v>
      </c>
      <c r="L18" s="5">
        <v>46007.21875</v>
      </c>
      <c r="M18" s="5">
        <v>46007.262997685182</v>
      </c>
      <c r="N18" s="5">
        <v>46007.247245370374</v>
      </c>
      <c r="O18" s="5">
        <v>46007.262997685182</v>
      </c>
      <c r="P18">
        <v>1</v>
      </c>
      <c r="Q18">
        <v>22.68</v>
      </c>
      <c r="R18">
        <v>22.68</v>
      </c>
      <c r="S18">
        <v>0</v>
      </c>
      <c r="T18">
        <v>0</v>
      </c>
      <c r="U18">
        <v>0</v>
      </c>
      <c r="V18">
        <v>8.48</v>
      </c>
      <c r="W18">
        <v>10</v>
      </c>
      <c r="X18">
        <v>10</v>
      </c>
      <c r="Y18">
        <v>1</v>
      </c>
      <c r="Z18">
        <v>0</v>
      </c>
      <c r="AA18">
        <v>0</v>
      </c>
      <c r="AB18">
        <v>0</v>
      </c>
      <c r="AC18" t="s">
        <v>458</v>
      </c>
      <c r="AD18" t="s">
        <v>521</v>
      </c>
      <c r="AE18" t="s">
        <v>522</v>
      </c>
      <c r="AF18" t="s">
        <v>523</v>
      </c>
      <c r="AG18">
        <v>14796</v>
      </c>
      <c r="AH18">
        <v>636745</v>
      </c>
      <c r="AI18">
        <v>0</v>
      </c>
      <c r="AJ18" t="s">
        <v>451</v>
      </c>
      <c r="AK18" t="s">
        <v>452</v>
      </c>
      <c r="AL18" t="s">
        <v>491</v>
      </c>
      <c r="AN18" t="s">
        <v>493</v>
      </c>
      <c r="AO18">
        <v>20251216</v>
      </c>
    </row>
    <row r="19" spans="1:41" x14ac:dyDescent="0.2">
      <c r="A19">
        <v>648986</v>
      </c>
      <c r="B19" t="s">
        <v>524</v>
      </c>
      <c r="C19" t="s">
        <v>456</v>
      </c>
      <c r="D19" t="s">
        <v>457</v>
      </c>
      <c r="E19" t="s">
        <v>448</v>
      </c>
      <c r="F19">
        <v>54332</v>
      </c>
      <c r="G19">
        <v>70690</v>
      </c>
      <c r="H19" s="5">
        <v>46007.22828703704</v>
      </c>
      <c r="I19" s="5">
        <v>46007.262997685182</v>
      </c>
      <c r="J19">
        <v>49.98</v>
      </c>
      <c r="K19">
        <v>49.98</v>
      </c>
      <c r="L19" s="5">
        <v>46007.21875</v>
      </c>
      <c r="M19" s="5">
        <v>46007.262997685182</v>
      </c>
      <c r="N19" s="5">
        <v>46007.230532407404</v>
      </c>
      <c r="O19" s="5">
        <v>46007.262997685182</v>
      </c>
      <c r="P19">
        <v>1</v>
      </c>
      <c r="Q19">
        <v>46.75</v>
      </c>
      <c r="R19">
        <v>46.75</v>
      </c>
      <c r="S19">
        <v>0</v>
      </c>
      <c r="T19">
        <v>0</v>
      </c>
      <c r="U19">
        <v>0</v>
      </c>
      <c r="V19">
        <v>15.39</v>
      </c>
      <c r="W19">
        <v>4</v>
      </c>
      <c r="X19">
        <v>4</v>
      </c>
      <c r="Y19">
        <v>0</v>
      </c>
      <c r="Z19">
        <v>0</v>
      </c>
      <c r="AA19">
        <v>0</v>
      </c>
      <c r="AB19">
        <v>0</v>
      </c>
      <c r="AC19" t="s">
        <v>458</v>
      </c>
      <c r="AD19" t="s">
        <v>525</v>
      </c>
      <c r="AE19" t="s">
        <v>526</v>
      </c>
      <c r="AF19" t="s">
        <v>527</v>
      </c>
      <c r="AG19">
        <v>14796</v>
      </c>
      <c r="AH19">
        <v>636745</v>
      </c>
      <c r="AI19">
        <v>0</v>
      </c>
      <c r="AJ19" t="s">
        <v>451</v>
      </c>
      <c r="AK19" t="s">
        <v>452</v>
      </c>
      <c r="AL19" t="s">
        <v>453</v>
      </c>
      <c r="AN19" t="s">
        <v>454</v>
      </c>
      <c r="AO19">
        <v>20251216</v>
      </c>
    </row>
    <row r="20" spans="1:41" x14ac:dyDescent="0.2">
      <c r="A20">
        <v>636745</v>
      </c>
      <c r="B20" t="s">
        <v>528</v>
      </c>
      <c r="C20" t="s">
        <v>529</v>
      </c>
      <c r="E20" t="s">
        <v>448</v>
      </c>
      <c r="F20">
        <v>54332</v>
      </c>
      <c r="G20">
        <v>70690</v>
      </c>
      <c r="H20" s="5">
        <v>46007.22828703704</v>
      </c>
      <c r="I20" s="5">
        <v>46007.262997685182</v>
      </c>
      <c r="J20">
        <v>49.98</v>
      </c>
      <c r="K20">
        <v>49.98</v>
      </c>
      <c r="L20" s="5">
        <v>46007.21875</v>
      </c>
      <c r="M20" s="5">
        <v>46007.262997685182</v>
      </c>
      <c r="N20" s="5">
        <v>46007.22828703704</v>
      </c>
      <c r="O20" s="5">
        <v>46007.262997685182</v>
      </c>
      <c r="P20">
        <v>3</v>
      </c>
      <c r="Q20">
        <v>49.98</v>
      </c>
      <c r="R20">
        <v>49.98</v>
      </c>
      <c r="Y20">
        <v>1</v>
      </c>
      <c r="AA20">
        <v>1</v>
      </c>
      <c r="AB20">
        <v>3</v>
      </c>
      <c r="AC20" t="s">
        <v>449</v>
      </c>
      <c r="AD20" t="s">
        <v>530</v>
      </c>
      <c r="AG20">
        <v>14796</v>
      </c>
      <c r="AH20">
        <v>636745</v>
      </c>
      <c r="AI20">
        <v>1</v>
      </c>
      <c r="AJ20" t="s">
        <v>451</v>
      </c>
      <c r="AK20" t="s">
        <v>452</v>
      </c>
      <c r="AO20">
        <v>20251216</v>
      </c>
    </row>
    <row r="21" spans="1:41" x14ac:dyDescent="0.2">
      <c r="A21">
        <v>647433</v>
      </c>
      <c r="B21" t="s">
        <v>531</v>
      </c>
      <c r="C21" t="s">
        <v>456</v>
      </c>
      <c r="D21" t="s">
        <v>457</v>
      </c>
      <c r="E21" t="s">
        <v>448</v>
      </c>
      <c r="F21">
        <v>54332</v>
      </c>
      <c r="G21">
        <v>70690</v>
      </c>
      <c r="H21" s="5">
        <v>46007.22828703704</v>
      </c>
      <c r="I21" s="5">
        <v>46007.262997685182</v>
      </c>
      <c r="J21">
        <v>49.98</v>
      </c>
      <c r="K21">
        <v>49.98</v>
      </c>
      <c r="L21" s="5">
        <v>46007.21875</v>
      </c>
      <c r="M21" s="5">
        <v>46007.262997685182</v>
      </c>
      <c r="N21" s="5">
        <v>46007.230196759258</v>
      </c>
      <c r="O21" s="5">
        <v>46007.262997685182</v>
      </c>
      <c r="P21">
        <v>1</v>
      </c>
      <c r="Q21">
        <v>47.23</v>
      </c>
      <c r="R21">
        <v>47.23</v>
      </c>
      <c r="S21">
        <v>0</v>
      </c>
      <c r="T21">
        <v>0</v>
      </c>
      <c r="U21">
        <v>0</v>
      </c>
      <c r="V21">
        <v>12.92</v>
      </c>
      <c r="W21">
        <v>13</v>
      </c>
      <c r="X21">
        <v>13</v>
      </c>
      <c r="Y21">
        <v>0</v>
      </c>
      <c r="Z21">
        <v>1</v>
      </c>
      <c r="AA21">
        <v>0</v>
      </c>
      <c r="AB21">
        <v>0</v>
      </c>
      <c r="AC21" t="s">
        <v>458</v>
      </c>
      <c r="AD21" t="s">
        <v>532</v>
      </c>
      <c r="AE21" t="s">
        <v>533</v>
      </c>
      <c r="AF21" t="s">
        <v>534</v>
      </c>
      <c r="AG21">
        <v>14796</v>
      </c>
      <c r="AH21">
        <v>636745</v>
      </c>
      <c r="AI21">
        <v>0</v>
      </c>
      <c r="AJ21" t="s">
        <v>451</v>
      </c>
      <c r="AK21" t="s">
        <v>452</v>
      </c>
      <c r="AL21" t="s">
        <v>453</v>
      </c>
      <c r="AN21" t="s">
        <v>454</v>
      </c>
      <c r="AO21">
        <v>20251216</v>
      </c>
    </row>
    <row r="22" spans="1:41" x14ac:dyDescent="0.2">
      <c r="A22">
        <v>647499</v>
      </c>
      <c r="B22" t="s">
        <v>535</v>
      </c>
      <c r="C22" t="s">
        <v>456</v>
      </c>
      <c r="D22" t="s">
        <v>457</v>
      </c>
      <c r="E22" t="s">
        <v>448</v>
      </c>
      <c r="F22">
        <v>54332</v>
      </c>
      <c r="G22">
        <v>70690</v>
      </c>
      <c r="H22" s="5">
        <v>46007.22828703704</v>
      </c>
      <c r="I22" s="5">
        <v>46007.262997685182</v>
      </c>
      <c r="J22">
        <v>49.98</v>
      </c>
      <c r="K22">
        <v>49.98</v>
      </c>
      <c r="L22" s="5">
        <v>46007.21875</v>
      </c>
      <c r="M22" s="5">
        <v>46007.262997685182</v>
      </c>
      <c r="N22" s="5">
        <v>46007.2341087963</v>
      </c>
      <c r="O22" s="5">
        <v>46007.262870370374</v>
      </c>
      <c r="P22">
        <v>4</v>
      </c>
      <c r="Q22">
        <v>40.83</v>
      </c>
      <c r="R22">
        <v>40.83</v>
      </c>
      <c r="S22">
        <v>0</v>
      </c>
      <c r="T22">
        <v>0</v>
      </c>
      <c r="U22">
        <v>0</v>
      </c>
      <c r="V22">
        <v>9.49</v>
      </c>
      <c r="W22">
        <v>13</v>
      </c>
      <c r="X22">
        <v>13</v>
      </c>
      <c r="Y22">
        <v>2</v>
      </c>
      <c r="Z22">
        <v>0</v>
      </c>
      <c r="AA22">
        <v>0</v>
      </c>
      <c r="AB22">
        <v>0</v>
      </c>
      <c r="AC22" t="s">
        <v>458</v>
      </c>
      <c r="AD22" t="s">
        <v>536</v>
      </c>
      <c r="AE22" t="s">
        <v>537</v>
      </c>
      <c r="AF22" t="s">
        <v>538</v>
      </c>
      <c r="AG22">
        <v>14796</v>
      </c>
      <c r="AH22">
        <v>636745</v>
      </c>
      <c r="AI22">
        <v>0</v>
      </c>
      <c r="AJ22" t="s">
        <v>451</v>
      </c>
      <c r="AK22" t="s">
        <v>452</v>
      </c>
      <c r="AL22" t="s">
        <v>462</v>
      </c>
      <c r="AN22" t="s">
        <v>463</v>
      </c>
      <c r="AO22">
        <v>20251216</v>
      </c>
    </row>
    <row r="23" spans="1:41" x14ac:dyDescent="0.2">
      <c r="A23">
        <v>647748</v>
      </c>
      <c r="B23" t="s">
        <v>539</v>
      </c>
      <c r="C23" t="s">
        <v>456</v>
      </c>
      <c r="D23" t="s">
        <v>457</v>
      </c>
      <c r="E23" t="s">
        <v>448</v>
      </c>
      <c r="F23">
        <v>54332</v>
      </c>
      <c r="G23">
        <v>70690</v>
      </c>
      <c r="H23" s="5">
        <v>46007.22828703704</v>
      </c>
      <c r="I23" s="5">
        <v>46007.262997685182</v>
      </c>
      <c r="J23">
        <v>49.98</v>
      </c>
      <c r="K23">
        <v>49.98</v>
      </c>
      <c r="L23" s="5">
        <v>46007.21875</v>
      </c>
      <c r="M23" s="5">
        <v>46007.262997685182</v>
      </c>
      <c r="N23" s="5">
        <v>46007.229074074072</v>
      </c>
      <c r="O23" s="5">
        <v>46007.262997685182</v>
      </c>
      <c r="P23">
        <v>3</v>
      </c>
      <c r="Q23">
        <v>47.47</v>
      </c>
      <c r="R23">
        <v>47.47</v>
      </c>
      <c r="S23">
        <v>0</v>
      </c>
      <c r="T23">
        <v>0</v>
      </c>
      <c r="U23">
        <v>0</v>
      </c>
      <c r="V23">
        <v>17.64</v>
      </c>
      <c r="W23">
        <v>10</v>
      </c>
      <c r="X23">
        <v>10</v>
      </c>
      <c r="Y23">
        <v>1</v>
      </c>
      <c r="Z23">
        <v>0</v>
      </c>
      <c r="AA23">
        <v>0</v>
      </c>
      <c r="AB23">
        <v>0</v>
      </c>
      <c r="AC23" t="s">
        <v>458</v>
      </c>
      <c r="AD23" t="s">
        <v>540</v>
      </c>
      <c r="AE23" t="s">
        <v>541</v>
      </c>
      <c r="AF23" t="s">
        <v>542</v>
      </c>
      <c r="AG23">
        <v>14796</v>
      </c>
      <c r="AH23">
        <v>636745</v>
      </c>
      <c r="AI23">
        <v>0</v>
      </c>
      <c r="AJ23" t="s">
        <v>451</v>
      </c>
      <c r="AK23" t="s">
        <v>452</v>
      </c>
      <c r="AL23" t="s">
        <v>480</v>
      </c>
      <c r="AM23" t="s">
        <v>481</v>
      </c>
      <c r="AN23" t="s">
        <v>482</v>
      </c>
      <c r="AO23">
        <v>20251216</v>
      </c>
    </row>
    <row r="24" spans="1:41" x14ac:dyDescent="0.2">
      <c r="A24">
        <v>660350</v>
      </c>
      <c r="B24" t="s">
        <v>462</v>
      </c>
      <c r="C24" t="s">
        <v>447</v>
      </c>
      <c r="E24" t="s">
        <v>448</v>
      </c>
      <c r="F24">
        <v>54332</v>
      </c>
      <c r="G24">
        <v>70690</v>
      </c>
      <c r="H24" s="5">
        <v>46007.22828703704</v>
      </c>
      <c r="I24" s="5">
        <v>46007.262997685182</v>
      </c>
      <c r="J24">
        <v>49.98</v>
      </c>
      <c r="K24">
        <v>49.98</v>
      </c>
      <c r="L24" s="5">
        <v>46007.21875</v>
      </c>
      <c r="M24" s="5">
        <v>46007.262997685182</v>
      </c>
      <c r="N24" s="5">
        <v>46007.229942129627</v>
      </c>
      <c r="O24" s="5">
        <v>46007.262997685182</v>
      </c>
      <c r="P24">
        <v>11</v>
      </c>
      <c r="Q24">
        <v>25.82</v>
      </c>
      <c r="R24">
        <v>25.82</v>
      </c>
      <c r="S24">
        <v>0</v>
      </c>
      <c r="T24">
        <v>0</v>
      </c>
      <c r="U24">
        <v>0</v>
      </c>
      <c r="V24">
        <v>0</v>
      </c>
      <c r="Y24">
        <v>0</v>
      </c>
      <c r="Z24">
        <v>0</v>
      </c>
      <c r="AA24">
        <v>0</v>
      </c>
      <c r="AB24">
        <v>0</v>
      </c>
      <c r="AC24" t="s">
        <v>449</v>
      </c>
      <c r="AD24" t="s">
        <v>543</v>
      </c>
      <c r="AG24">
        <v>14796</v>
      </c>
      <c r="AH24">
        <v>636745</v>
      </c>
      <c r="AI24">
        <v>0</v>
      </c>
      <c r="AJ24" t="s">
        <v>451</v>
      </c>
      <c r="AK24" t="s">
        <v>452</v>
      </c>
      <c r="AL24" t="s">
        <v>462</v>
      </c>
      <c r="AN24" t="s">
        <v>463</v>
      </c>
      <c r="AO24">
        <v>20251216</v>
      </c>
    </row>
    <row r="25" spans="1:41" x14ac:dyDescent="0.2">
      <c r="A25">
        <v>652938</v>
      </c>
      <c r="B25" t="s">
        <v>544</v>
      </c>
      <c r="C25" t="s">
        <v>456</v>
      </c>
      <c r="D25" t="s">
        <v>457</v>
      </c>
      <c r="E25" t="s">
        <v>448</v>
      </c>
      <c r="F25">
        <v>54332</v>
      </c>
      <c r="G25">
        <v>70690</v>
      </c>
      <c r="H25" s="5">
        <v>46007.22828703704</v>
      </c>
      <c r="I25" s="5">
        <v>46007.262997685182</v>
      </c>
      <c r="J25">
        <v>49.98</v>
      </c>
      <c r="K25">
        <v>49.98</v>
      </c>
      <c r="L25" s="5">
        <v>46007.21875</v>
      </c>
      <c r="M25" s="5">
        <v>46007.262997685182</v>
      </c>
      <c r="N25" s="5">
        <v>46007.231481481482</v>
      </c>
      <c r="O25" s="5">
        <v>46007.262997685182</v>
      </c>
      <c r="P25">
        <v>1</v>
      </c>
      <c r="Q25">
        <v>45.38</v>
      </c>
      <c r="R25">
        <v>45.38</v>
      </c>
      <c r="S25">
        <v>0</v>
      </c>
      <c r="T25">
        <v>0</v>
      </c>
      <c r="U25">
        <v>0</v>
      </c>
      <c r="V25">
        <v>14.03</v>
      </c>
      <c r="W25">
        <v>0</v>
      </c>
      <c r="X25">
        <v>0</v>
      </c>
      <c r="Y25">
        <v>0</v>
      </c>
      <c r="Z25">
        <v>0</v>
      </c>
      <c r="AA25">
        <v>0</v>
      </c>
      <c r="AB25">
        <v>0</v>
      </c>
      <c r="AC25" t="s">
        <v>458</v>
      </c>
      <c r="AD25" t="s">
        <v>545</v>
      </c>
      <c r="AE25" t="s">
        <v>546</v>
      </c>
      <c r="AF25" t="s">
        <v>461</v>
      </c>
      <c r="AG25">
        <v>14796</v>
      </c>
      <c r="AH25">
        <v>636745</v>
      </c>
      <c r="AI25">
        <v>0</v>
      </c>
      <c r="AJ25" t="s">
        <v>451</v>
      </c>
      <c r="AK25" t="s">
        <v>452</v>
      </c>
      <c r="AL25" t="s">
        <v>462</v>
      </c>
      <c r="AN25" t="s">
        <v>463</v>
      </c>
      <c r="AO25">
        <v>20251216</v>
      </c>
    </row>
    <row r="26" spans="1:41" x14ac:dyDescent="0.2">
      <c r="A26">
        <v>651452</v>
      </c>
      <c r="B26" t="s">
        <v>547</v>
      </c>
      <c r="C26" t="s">
        <v>456</v>
      </c>
      <c r="D26" t="s">
        <v>457</v>
      </c>
      <c r="E26" t="s">
        <v>448</v>
      </c>
      <c r="F26">
        <v>54332</v>
      </c>
      <c r="G26">
        <v>70690</v>
      </c>
      <c r="H26" s="5">
        <v>46007.22828703704</v>
      </c>
      <c r="I26" s="5">
        <v>46007.262997685182</v>
      </c>
      <c r="J26">
        <v>49.98</v>
      </c>
      <c r="K26">
        <v>49.98</v>
      </c>
      <c r="L26" s="5">
        <v>46007.21875</v>
      </c>
      <c r="M26" s="5">
        <v>46007.262997685182</v>
      </c>
      <c r="N26" s="5">
        <v>46007.231550925928</v>
      </c>
      <c r="O26" s="5">
        <v>46007.262997685182</v>
      </c>
      <c r="P26">
        <v>1</v>
      </c>
      <c r="Q26">
        <v>45.28</v>
      </c>
      <c r="R26">
        <v>45.28</v>
      </c>
      <c r="S26">
        <v>0</v>
      </c>
      <c r="T26">
        <v>0</v>
      </c>
      <c r="U26">
        <v>0</v>
      </c>
      <c r="V26">
        <v>15.12</v>
      </c>
      <c r="W26">
        <v>13</v>
      </c>
      <c r="X26">
        <v>13</v>
      </c>
      <c r="Y26">
        <v>2</v>
      </c>
      <c r="Z26">
        <v>1</v>
      </c>
      <c r="AA26">
        <v>0</v>
      </c>
      <c r="AB26">
        <v>0</v>
      </c>
      <c r="AC26" t="s">
        <v>458</v>
      </c>
      <c r="AD26" t="s">
        <v>548</v>
      </c>
      <c r="AE26" t="s">
        <v>549</v>
      </c>
      <c r="AF26" t="s">
        <v>461</v>
      </c>
      <c r="AG26">
        <v>14796</v>
      </c>
      <c r="AH26">
        <v>636745</v>
      </c>
      <c r="AI26">
        <v>0</v>
      </c>
      <c r="AJ26" t="s">
        <v>451</v>
      </c>
      <c r="AK26" t="s">
        <v>452</v>
      </c>
      <c r="AL26" t="s">
        <v>462</v>
      </c>
      <c r="AN26" t="s">
        <v>463</v>
      </c>
      <c r="AO26">
        <v>20251216</v>
      </c>
    </row>
    <row r="27" spans="1:41" x14ac:dyDescent="0.2">
      <c r="A27">
        <v>647739</v>
      </c>
      <c r="B27" t="s">
        <v>550</v>
      </c>
      <c r="C27" t="s">
        <v>456</v>
      </c>
      <c r="D27" t="s">
        <v>457</v>
      </c>
      <c r="E27" t="s">
        <v>448</v>
      </c>
      <c r="F27">
        <v>54332</v>
      </c>
      <c r="G27">
        <v>70690</v>
      </c>
      <c r="H27" s="5">
        <v>46007.22828703704</v>
      </c>
      <c r="I27" s="5">
        <v>46007.262997685182</v>
      </c>
      <c r="J27">
        <v>49.98</v>
      </c>
      <c r="K27">
        <v>49.98</v>
      </c>
      <c r="L27" s="5">
        <v>46007.21875</v>
      </c>
      <c r="M27" s="5">
        <v>46007.262997685182</v>
      </c>
      <c r="N27" s="5">
        <v>46007.254930555559</v>
      </c>
      <c r="O27" s="5">
        <v>46007.262997685182</v>
      </c>
      <c r="P27">
        <v>2</v>
      </c>
      <c r="Q27">
        <v>11.27</v>
      </c>
      <c r="R27">
        <v>11.27</v>
      </c>
      <c r="S27">
        <v>0</v>
      </c>
      <c r="T27">
        <v>0</v>
      </c>
      <c r="U27">
        <v>0</v>
      </c>
      <c r="V27">
        <v>4.9400000000000004</v>
      </c>
      <c r="W27">
        <v>9</v>
      </c>
      <c r="X27">
        <v>9</v>
      </c>
      <c r="Y27">
        <v>0</v>
      </c>
      <c r="Z27">
        <v>0</v>
      </c>
      <c r="AA27">
        <v>0</v>
      </c>
      <c r="AB27">
        <v>0</v>
      </c>
      <c r="AC27" t="s">
        <v>458</v>
      </c>
      <c r="AD27" t="s">
        <v>551</v>
      </c>
      <c r="AE27" t="s">
        <v>552</v>
      </c>
      <c r="AF27" t="s">
        <v>553</v>
      </c>
      <c r="AG27">
        <v>14796</v>
      </c>
      <c r="AH27">
        <v>636745</v>
      </c>
      <c r="AI27">
        <v>0</v>
      </c>
      <c r="AJ27" t="s">
        <v>451</v>
      </c>
      <c r="AK27" t="s">
        <v>452</v>
      </c>
      <c r="AL27" t="s">
        <v>480</v>
      </c>
      <c r="AM27" t="s">
        <v>481</v>
      </c>
      <c r="AN27" t="s">
        <v>482</v>
      </c>
      <c r="AO27">
        <v>20251216</v>
      </c>
    </row>
    <row r="28" spans="1:41" x14ac:dyDescent="0.2">
      <c r="A28">
        <v>652933</v>
      </c>
      <c r="B28" t="s">
        <v>515</v>
      </c>
      <c r="C28" t="s">
        <v>456</v>
      </c>
      <c r="E28" t="s">
        <v>448</v>
      </c>
      <c r="F28">
        <v>54332</v>
      </c>
      <c r="G28">
        <v>70690</v>
      </c>
      <c r="H28" s="5">
        <v>46007.22828703704</v>
      </c>
      <c r="I28" s="5">
        <v>46007.262997685182</v>
      </c>
      <c r="J28">
        <v>49.98</v>
      </c>
      <c r="K28">
        <v>49.98</v>
      </c>
      <c r="L28" s="5">
        <v>46007.21875</v>
      </c>
      <c r="M28" s="5">
        <v>46007.262997685182</v>
      </c>
      <c r="N28" s="5">
        <v>46007.25582175926</v>
      </c>
      <c r="O28" s="5">
        <v>46007.262997685182</v>
      </c>
      <c r="P28">
        <v>1</v>
      </c>
      <c r="Q28">
        <v>10.33</v>
      </c>
      <c r="R28">
        <v>10.33</v>
      </c>
      <c r="S28">
        <v>0</v>
      </c>
      <c r="T28">
        <v>0</v>
      </c>
      <c r="U28">
        <v>0</v>
      </c>
      <c r="V28">
        <v>5.01</v>
      </c>
      <c r="W28">
        <v>4</v>
      </c>
      <c r="X28">
        <v>4</v>
      </c>
      <c r="Y28">
        <v>0</v>
      </c>
      <c r="Z28">
        <v>0</v>
      </c>
      <c r="AA28">
        <v>0</v>
      </c>
      <c r="AB28">
        <v>0</v>
      </c>
      <c r="AC28" t="s">
        <v>458</v>
      </c>
      <c r="AD28" t="s">
        <v>554</v>
      </c>
      <c r="AE28" t="s">
        <v>555</v>
      </c>
      <c r="AF28" t="s">
        <v>461</v>
      </c>
      <c r="AG28">
        <v>14796</v>
      </c>
      <c r="AH28">
        <v>636745</v>
      </c>
      <c r="AI28">
        <v>0</v>
      </c>
      <c r="AJ28" t="s">
        <v>451</v>
      </c>
      <c r="AK28" t="s">
        <v>452</v>
      </c>
      <c r="AL28" t="s">
        <v>462</v>
      </c>
      <c r="AN28" t="s">
        <v>463</v>
      </c>
      <c r="AO28">
        <v>20251216</v>
      </c>
    </row>
    <row r="29" spans="1:41" x14ac:dyDescent="0.2">
      <c r="A29">
        <v>648959</v>
      </c>
      <c r="B29" t="s">
        <v>556</v>
      </c>
      <c r="C29" t="s">
        <v>456</v>
      </c>
      <c r="D29" t="s">
        <v>488</v>
      </c>
      <c r="E29" t="s">
        <v>448</v>
      </c>
      <c r="F29">
        <v>54332</v>
      </c>
      <c r="G29">
        <v>70690</v>
      </c>
      <c r="H29" s="5">
        <v>46007.22828703704</v>
      </c>
      <c r="I29" s="5">
        <v>46007.262997685182</v>
      </c>
      <c r="J29">
        <v>49.98</v>
      </c>
      <c r="K29">
        <v>49.98</v>
      </c>
      <c r="L29" s="5">
        <v>46007.21875</v>
      </c>
      <c r="M29" s="5">
        <v>46007.262997685182</v>
      </c>
      <c r="N29" s="5">
        <v>46007.229166666664</v>
      </c>
      <c r="O29" s="5">
        <v>46007.262152777781</v>
      </c>
      <c r="P29">
        <v>2</v>
      </c>
      <c r="Q29">
        <v>47.45</v>
      </c>
      <c r="R29">
        <v>47.45</v>
      </c>
      <c r="S29">
        <v>0</v>
      </c>
      <c r="T29">
        <v>0</v>
      </c>
      <c r="U29">
        <v>0</v>
      </c>
      <c r="V29">
        <v>20.71</v>
      </c>
      <c r="W29">
        <v>13</v>
      </c>
      <c r="X29">
        <v>13</v>
      </c>
      <c r="Y29">
        <v>6</v>
      </c>
      <c r="Z29">
        <v>1</v>
      </c>
      <c r="AA29">
        <v>6</v>
      </c>
      <c r="AB29">
        <v>0</v>
      </c>
      <c r="AC29" t="s">
        <v>458</v>
      </c>
      <c r="AD29" t="s">
        <v>557</v>
      </c>
      <c r="AE29" t="s">
        <v>558</v>
      </c>
      <c r="AF29" t="s">
        <v>559</v>
      </c>
      <c r="AG29">
        <v>14796</v>
      </c>
      <c r="AH29">
        <v>636745</v>
      </c>
      <c r="AI29">
        <v>0</v>
      </c>
      <c r="AJ29" t="s">
        <v>451</v>
      </c>
      <c r="AK29" t="s">
        <v>452</v>
      </c>
      <c r="AL29" t="s">
        <v>453</v>
      </c>
      <c r="AN29" t="s">
        <v>454</v>
      </c>
      <c r="AO29">
        <v>20251216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504B5-5A60-AE40-9401-CC2D9E464D8A}">
  <dimension ref="A1:J81"/>
  <sheetViews>
    <sheetView workbookViewId="0">
      <selection sqref="A1:XFD1048576"/>
    </sheetView>
  </sheetViews>
  <sheetFormatPr baseColWidth="10" defaultRowHeight="16" x14ac:dyDescent="0.2"/>
  <sheetData>
    <row r="1" spans="1:10" x14ac:dyDescent="0.2">
      <c r="A1" t="s">
        <v>411</v>
      </c>
      <c r="B1" t="s">
        <v>410</v>
      </c>
      <c r="C1" t="s">
        <v>405</v>
      </c>
      <c r="D1" t="s">
        <v>560</v>
      </c>
      <c r="E1" t="s">
        <v>561</v>
      </c>
      <c r="F1" t="s">
        <v>562</v>
      </c>
      <c r="G1" t="s">
        <v>563</v>
      </c>
      <c r="H1" t="s">
        <v>564</v>
      </c>
      <c r="I1" t="s">
        <v>565</v>
      </c>
      <c r="J1" t="s">
        <v>445</v>
      </c>
    </row>
    <row r="2" spans="1:10" x14ac:dyDescent="0.2">
      <c r="A2">
        <v>70690</v>
      </c>
      <c r="B2">
        <v>54332</v>
      </c>
      <c r="C2">
        <v>647306</v>
      </c>
      <c r="D2" s="5">
        <v>46007.249456018515</v>
      </c>
      <c r="E2">
        <v>1396622</v>
      </c>
      <c r="F2">
        <v>1396622</v>
      </c>
      <c r="G2" t="s">
        <v>566</v>
      </c>
      <c r="H2">
        <v>1</v>
      </c>
      <c r="I2">
        <v>1</v>
      </c>
      <c r="J2">
        <v>20251216</v>
      </c>
    </row>
    <row r="3" spans="1:10" x14ac:dyDescent="0.2">
      <c r="A3">
        <v>70690</v>
      </c>
      <c r="B3">
        <v>54332</v>
      </c>
      <c r="C3">
        <v>647433</v>
      </c>
      <c r="D3" s="5">
        <v>46007.236041666663</v>
      </c>
      <c r="E3">
        <v>1396625</v>
      </c>
      <c r="F3">
        <v>1396625</v>
      </c>
      <c r="G3" t="s">
        <v>567</v>
      </c>
      <c r="H3">
        <v>1</v>
      </c>
      <c r="I3">
        <v>1</v>
      </c>
      <c r="J3">
        <v>20251216</v>
      </c>
    </row>
    <row r="4" spans="1:10" x14ac:dyDescent="0.2">
      <c r="A4">
        <v>70690</v>
      </c>
      <c r="B4">
        <v>54332</v>
      </c>
      <c r="C4">
        <v>648959</v>
      </c>
      <c r="D4" s="5">
        <v>46007.250057870369</v>
      </c>
      <c r="E4">
        <v>1396622</v>
      </c>
      <c r="F4">
        <v>1396622</v>
      </c>
      <c r="G4" t="s">
        <v>568</v>
      </c>
      <c r="H4">
        <v>1</v>
      </c>
      <c r="I4">
        <v>1</v>
      </c>
      <c r="J4">
        <v>20251216</v>
      </c>
    </row>
    <row r="5" spans="1:10" x14ac:dyDescent="0.2">
      <c r="A5">
        <v>70690</v>
      </c>
      <c r="B5">
        <v>54332</v>
      </c>
      <c r="C5">
        <v>651452</v>
      </c>
      <c r="D5" s="5">
        <v>46007.242719907408</v>
      </c>
      <c r="E5">
        <v>1396624</v>
      </c>
      <c r="F5">
        <v>1396624</v>
      </c>
      <c r="G5" t="s">
        <v>567</v>
      </c>
      <c r="H5">
        <v>1</v>
      </c>
      <c r="I5">
        <v>1</v>
      </c>
      <c r="J5">
        <v>20251216</v>
      </c>
    </row>
    <row r="6" spans="1:10" x14ac:dyDescent="0.2">
      <c r="A6">
        <v>70690</v>
      </c>
      <c r="B6">
        <v>54332</v>
      </c>
      <c r="C6">
        <v>652934</v>
      </c>
      <c r="D6" s="5">
        <v>46007.229756944442</v>
      </c>
      <c r="E6">
        <v>1396599</v>
      </c>
      <c r="G6" t="s">
        <v>568</v>
      </c>
      <c r="H6">
        <v>0</v>
      </c>
      <c r="I6">
        <v>1</v>
      </c>
      <c r="J6">
        <v>20251216</v>
      </c>
    </row>
    <row r="7" spans="1:10" x14ac:dyDescent="0.2">
      <c r="A7">
        <v>70690</v>
      </c>
      <c r="B7">
        <v>54332</v>
      </c>
      <c r="C7">
        <v>648953</v>
      </c>
      <c r="D7" s="5">
        <v>46007.252685185187</v>
      </c>
      <c r="E7">
        <v>1396622</v>
      </c>
      <c r="F7">
        <v>1396622</v>
      </c>
      <c r="G7" t="s">
        <v>568</v>
      </c>
      <c r="H7">
        <v>1</v>
      </c>
      <c r="I7">
        <v>1</v>
      </c>
      <c r="J7">
        <v>20251216</v>
      </c>
    </row>
    <row r="8" spans="1:10" x14ac:dyDescent="0.2">
      <c r="A8">
        <v>70690</v>
      </c>
      <c r="B8">
        <v>54332</v>
      </c>
      <c r="C8">
        <v>647748</v>
      </c>
      <c r="D8" s="5">
        <v>46007.229988425926</v>
      </c>
      <c r="E8">
        <v>1396599</v>
      </c>
      <c r="G8" t="s">
        <v>566</v>
      </c>
      <c r="H8">
        <v>0</v>
      </c>
      <c r="I8">
        <v>1</v>
      </c>
      <c r="J8">
        <v>20251216</v>
      </c>
    </row>
    <row r="9" spans="1:10" x14ac:dyDescent="0.2">
      <c r="A9">
        <v>70690</v>
      </c>
      <c r="B9">
        <v>54332</v>
      </c>
      <c r="C9">
        <v>657525</v>
      </c>
      <c r="D9" s="5">
        <v>46007.245208333334</v>
      </c>
      <c r="E9">
        <v>1396623</v>
      </c>
      <c r="F9">
        <v>1396623</v>
      </c>
      <c r="G9" t="s">
        <v>566</v>
      </c>
      <c r="H9">
        <v>1</v>
      </c>
      <c r="I9">
        <v>1</v>
      </c>
      <c r="J9">
        <v>20251216</v>
      </c>
    </row>
    <row r="10" spans="1:10" x14ac:dyDescent="0.2">
      <c r="A10">
        <v>70690</v>
      </c>
      <c r="B10">
        <v>54332</v>
      </c>
      <c r="C10">
        <v>647404</v>
      </c>
      <c r="D10" s="5">
        <v>46007.243530092594</v>
      </c>
      <c r="E10">
        <v>1396624</v>
      </c>
      <c r="F10">
        <v>1396624</v>
      </c>
      <c r="G10" t="s">
        <v>568</v>
      </c>
      <c r="H10">
        <v>1</v>
      </c>
      <c r="I10">
        <v>1</v>
      </c>
      <c r="J10">
        <v>20251216</v>
      </c>
    </row>
    <row r="11" spans="1:10" x14ac:dyDescent="0.2">
      <c r="A11">
        <v>70690</v>
      </c>
      <c r="B11">
        <v>54332</v>
      </c>
      <c r="C11">
        <v>647496</v>
      </c>
      <c r="D11" s="5">
        <v>46007.236030092594</v>
      </c>
      <c r="E11">
        <v>1396625</v>
      </c>
      <c r="F11">
        <v>1396625</v>
      </c>
      <c r="G11" t="s">
        <v>566</v>
      </c>
      <c r="H11">
        <v>1</v>
      </c>
      <c r="I11">
        <v>1</v>
      </c>
      <c r="J11">
        <v>20251216</v>
      </c>
    </row>
    <row r="12" spans="1:10" x14ac:dyDescent="0.2">
      <c r="A12">
        <v>70690</v>
      </c>
      <c r="B12">
        <v>54332</v>
      </c>
      <c r="C12">
        <v>647504</v>
      </c>
      <c r="D12" s="5">
        <v>46007.235358796293</v>
      </c>
      <c r="E12">
        <v>1396625</v>
      </c>
      <c r="F12">
        <v>1396625</v>
      </c>
      <c r="G12" t="s">
        <v>566</v>
      </c>
      <c r="H12">
        <v>0</v>
      </c>
      <c r="I12">
        <v>1</v>
      </c>
      <c r="J12">
        <v>20251216</v>
      </c>
    </row>
    <row r="13" spans="1:10" x14ac:dyDescent="0.2">
      <c r="A13">
        <v>70690</v>
      </c>
      <c r="B13">
        <v>54332</v>
      </c>
      <c r="C13">
        <v>652958</v>
      </c>
      <c r="D13" s="5">
        <v>46007.242708333331</v>
      </c>
      <c r="E13">
        <v>1396624</v>
      </c>
      <c r="F13">
        <v>1396624</v>
      </c>
      <c r="G13" t="s">
        <v>566</v>
      </c>
      <c r="H13">
        <v>1</v>
      </c>
      <c r="I13">
        <v>1</v>
      </c>
      <c r="J13">
        <v>20251216</v>
      </c>
    </row>
    <row r="14" spans="1:10" x14ac:dyDescent="0.2">
      <c r="A14">
        <v>70690</v>
      </c>
      <c r="B14">
        <v>54332</v>
      </c>
      <c r="C14">
        <v>648953</v>
      </c>
      <c r="D14" s="5">
        <v>46007.23636574074</v>
      </c>
      <c r="E14">
        <v>1396625</v>
      </c>
      <c r="F14">
        <v>1396625</v>
      </c>
      <c r="G14" t="s">
        <v>568</v>
      </c>
      <c r="H14">
        <v>1</v>
      </c>
      <c r="I14">
        <v>1</v>
      </c>
      <c r="J14">
        <v>20251216</v>
      </c>
    </row>
    <row r="15" spans="1:10" x14ac:dyDescent="0.2">
      <c r="A15">
        <v>70690</v>
      </c>
      <c r="B15">
        <v>54332</v>
      </c>
      <c r="C15">
        <v>648951</v>
      </c>
      <c r="D15" s="5">
        <v>46007.256516203706</v>
      </c>
      <c r="E15">
        <v>1396621</v>
      </c>
      <c r="F15">
        <v>1396621</v>
      </c>
      <c r="G15" t="s">
        <v>567</v>
      </c>
      <c r="H15">
        <v>1</v>
      </c>
      <c r="I15">
        <v>1</v>
      </c>
      <c r="J15">
        <v>20251216</v>
      </c>
    </row>
    <row r="16" spans="1:10" x14ac:dyDescent="0.2">
      <c r="A16">
        <v>70690</v>
      </c>
      <c r="B16">
        <v>54332</v>
      </c>
      <c r="C16">
        <v>652934</v>
      </c>
      <c r="D16" s="5">
        <v>46007.245185185187</v>
      </c>
      <c r="E16">
        <v>1396623</v>
      </c>
      <c r="F16">
        <v>1396623</v>
      </c>
      <c r="G16" t="s">
        <v>567</v>
      </c>
      <c r="H16">
        <v>1</v>
      </c>
      <c r="I16">
        <v>1</v>
      </c>
      <c r="J16">
        <v>20251216</v>
      </c>
    </row>
    <row r="17" spans="1:10" x14ac:dyDescent="0.2">
      <c r="A17">
        <v>70690</v>
      </c>
      <c r="B17">
        <v>54332</v>
      </c>
      <c r="C17">
        <v>652940</v>
      </c>
      <c r="D17" s="5">
        <v>46007.249421296299</v>
      </c>
      <c r="E17">
        <v>1396622</v>
      </c>
      <c r="F17">
        <v>1396622</v>
      </c>
      <c r="G17" t="s">
        <v>566</v>
      </c>
      <c r="H17">
        <v>1</v>
      </c>
      <c r="I17">
        <v>1</v>
      </c>
      <c r="J17">
        <v>20251216</v>
      </c>
    </row>
    <row r="18" spans="1:10" x14ac:dyDescent="0.2">
      <c r="A18">
        <v>70690</v>
      </c>
      <c r="B18">
        <v>54332</v>
      </c>
      <c r="C18">
        <v>647748</v>
      </c>
      <c r="D18" s="5">
        <v>46007.243877314817</v>
      </c>
      <c r="E18">
        <v>1396624</v>
      </c>
      <c r="F18">
        <v>1396624</v>
      </c>
      <c r="G18" t="s">
        <v>566</v>
      </c>
      <c r="H18">
        <v>1</v>
      </c>
      <c r="I18">
        <v>1</v>
      </c>
      <c r="J18">
        <v>20251216</v>
      </c>
    </row>
    <row r="19" spans="1:10" x14ac:dyDescent="0.2">
      <c r="A19">
        <v>70690</v>
      </c>
      <c r="B19">
        <v>54332</v>
      </c>
      <c r="C19">
        <v>648959</v>
      </c>
      <c r="D19" s="5">
        <v>46007.244155092594</v>
      </c>
      <c r="E19">
        <v>1396608</v>
      </c>
      <c r="G19" t="s">
        <v>568</v>
      </c>
      <c r="H19">
        <v>0</v>
      </c>
      <c r="I19">
        <v>1</v>
      </c>
      <c r="J19">
        <v>20251216</v>
      </c>
    </row>
    <row r="20" spans="1:10" x14ac:dyDescent="0.2">
      <c r="A20">
        <v>70690</v>
      </c>
      <c r="B20">
        <v>54332</v>
      </c>
      <c r="C20">
        <v>647411</v>
      </c>
      <c r="D20" s="5">
        <v>46007.229826388888</v>
      </c>
      <c r="E20">
        <v>1396599</v>
      </c>
      <c r="G20" t="s">
        <v>568</v>
      </c>
      <c r="H20">
        <v>0</v>
      </c>
      <c r="I20">
        <v>1</v>
      </c>
      <c r="J20">
        <v>20251216</v>
      </c>
    </row>
    <row r="21" spans="1:10" x14ac:dyDescent="0.2">
      <c r="A21">
        <v>70690</v>
      </c>
      <c r="B21">
        <v>54332</v>
      </c>
      <c r="C21">
        <v>647748</v>
      </c>
      <c r="D21" s="5">
        <v>46007.24523148148</v>
      </c>
      <c r="E21">
        <v>1396623</v>
      </c>
      <c r="F21">
        <v>1396623</v>
      </c>
      <c r="G21" t="s">
        <v>566</v>
      </c>
      <c r="H21">
        <v>1</v>
      </c>
      <c r="I21">
        <v>1</v>
      </c>
      <c r="J21">
        <v>20251216</v>
      </c>
    </row>
    <row r="22" spans="1:10" x14ac:dyDescent="0.2">
      <c r="A22">
        <v>70690</v>
      </c>
      <c r="B22">
        <v>54332</v>
      </c>
      <c r="C22">
        <v>652934</v>
      </c>
      <c r="D22" s="5">
        <v>46007.236041666663</v>
      </c>
      <c r="E22">
        <v>1396625</v>
      </c>
      <c r="F22">
        <v>1396625</v>
      </c>
      <c r="G22" t="s">
        <v>568</v>
      </c>
      <c r="H22">
        <v>1</v>
      </c>
      <c r="I22">
        <v>1</v>
      </c>
      <c r="J22">
        <v>20251216</v>
      </c>
    </row>
    <row r="23" spans="1:10" x14ac:dyDescent="0.2">
      <c r="A23">
        <v>70690</v>
      </c>
      <c r="B23">
        <v>54332</v>
      </c>
      <c r="C23">
        <v>648953</v>
      </c>
      <c r="D23" s="5">
        <v>46007.230624999997</v>
      </c>
      <c r="E23">
        <v>1396599</v>
      </c>
      <c r="G23" t="s">
        <v>568</v>
      </c>
      <c r="H23">
        <v>0</v>
      </c>
      <c r="I23">
        <v>1</v>
      </c>
      <c r="J23">
        <v>20251216</v>
      </c>
    </row>
    <row r="24" spans="1:10" x14ac:dyDescent="0.2">
      <c r="A24">
        <v>70690</v>
      </c>
      <c r="B24">
        <v>54332</v>
      </c>
      <c r="C24">
        <v>657525</v>
      </c>
      <c r="D24" s="5">
        <v>46007.242708333331</v>
      </c>
      <c r="E24">
        <v>1396624</v>
      </c>
      <c r="F24">
        <v>1396624</v>
      </c>
      <c r="G24" t="s">
        <v>566</v>
      </c>
      <c r="H24">
        <v>1</v>
      </c>
      <c r="I24">
        <v>1</v>
      </c>
      <c r="J24">
        <v>20251216</v>
      </c>
    </row>
    <row r="25" spans="1:10" x14ac:dyDescent="0.2">
      <c r="A25">
        <v>70690</v>
      </c>
      <c r="B25">
        <v>54332</v>
      </c>
      <c r="C25">
        <v>651452</v>
      </c>
      <c r="D25" s="5">
        <v>46007.236273148148</v>
      </c>
      <c r="E25">
        <v>1396625</v>
      </c>
      <c r="F25">
        <v>1396625</v>
      </c>
      <c r="G25" t="s">
        <v>567</v>
      </c>
      <c r="H25">
        <v>1</v>
      </c>
      <c r="I25">
        <v>1</v>
      </c>
      <c r="J25">
        <v>20251216</v>
      </c>
    </row>
    <row r="26" spans="1:10" x14ac:dyDescent="0.2">
      <c r="A26">
        <v>70690</v>
      </c>
      <c r="B26">
        <v>54332</v>
      </c>
      <c r="C26">
        <v>647404</v>
      </c>
      <c r="D26" s="5">
        <v>46007.23</v>
      </c>
      <c r="E26">
        <v>1396599</v>
      </c>
      <c r="G26" t="s">
        <v>568</v>
      </c>
      <c r="H26">
        <v>0</v>
      </c>
      <c r="I26">
        <v>1</v>
      </c>
      <c r="J26">
        <v>20251216</v>
      </c>
    </row>
    <row r="27" spans="1:10" x14ac:dyDescent="0.2">
      <c r="A27">
        <v>70690</v>
      </c>
      <c r="B27">
        <v>54332</v>
      </c>
      <c r="C27">
        <v>647306</v>
      </c>
      <c r="D27" s="5">
        <v>46007.256574074076</v>
      </c>
      <c r="E27">
        <v>1396621</v>
      </c>
      <c r="F27">
        <v>1396621</v>
      </c>
      <c r="G27" t="s">
        <v>568</v>
      </c>
      <c r="H27">
        <v>1</v>
      </c>
      <c r="I27">
        <v>1</v>
      </c>
      <c r="J27">
        <v>20251216</v>
      </c>
    </row>
    <row r="28" spans="1:10" x14ac:dyDescent="0.2">
      <c r="A28">
        <v>70690</v>
      </c>
      <c r="B28">
        <v>54332</v>
      </c>
      <c r="C28">
        <v>647748</v>
      </c>
      <c r="D28" s="5">
        <v>46007.236122685186</v>
      </c>
      <c r="E28">
        <v>1396625</v>
      </c>
      <c r="F28">
        <v>1396625</v>
      </c>
      <c r="G28" t="s">
        <v>566</v>
      </c>
      <c r="H28">
        <v>1</v>
      </c>
      <c r="I28">
        <v>1</v>
      </c>
      <c r="J28">
        <v>20251216</v>
      </c>
    </row>
    <row r="29" spans="1:10" x14ac:dyDescent="0.2">
      <c r="A29">
        <v>70690</v>
      </c>
      <c r="B29">
        <v>54332</v>
      </c>
      <c r="C29">
        <v>648986</v>
      </c>
      <c r="D29" s="5">
        <v>46007.251435185186</v>
      </c>
      <c r="E29">
        <v>1396622</v>
      </c>
      <c r="F29">
        <v>1396622</v>
      </c>
      <c r="G29" t="s">
        <v>566</v>
      </c>
      <c r="H29">
        <v>1</v>
      </c>
      <c r="I29">
        <v>1</v>
      </c>
      <c r="J29">
        <v>20251216</v>
      </c>
    </row>
    <row r="30" spans="1:10" x14ac:dyDescent="0.2">
      <c r="A30">
        <v>70690</v>
      </c>
      <c r="B30">
        <v>54332</v>
      </c>
      <c r="C30">
        <v>651452</v>
      </c>
      <c r="D30" s="5">
        <v>46007.249432870369</v>
      </c>
      <c r="E30">
        <v>1396622</v>
      </c>
      <c r="F30">
        <v>1396622</v>
      </c>
      <c r="G30" t="s">
        <v>567</v>
      </c>
      <c r="H30">
        <v>1</v>
      </c>
      <c r="I30">
        <v>1</v>
      </c>
      <c r="J30">
        <v>20251216</v>
      </c>
    </row>
    <row r="31" spans="1:10" x14ac:dyDescent="0.2">
      <c r="A31">
        <v>70690</v>
      </c>
      <c r="B31">
        <v>54332</v>
      </c>
      <c r="C31">
        <v>647433</v>
      </c>
      <c r="D31" s="5">
        <v>46007.249444444446</v>
      </c>
      <c r="E31">
        <v>1396622</v>
      </c>
      <c r="F31">
        <v>1396622</v>
      </c>
      <c r="G31" t="s">
        <v>567</v>
      </c>
      <c r="H31">
        <v>1</v>
      </c>
      <c r="I31">
        <v>1</v>
      </c>
      <c r="J31">
        <v>20251216</v>
      </c>
    </row>
    <row r="32" spans="1:10" x14ac:dyDescent="0.2">
      <c r="A32">
        <v>70690</v>
      </c>
      <c r="B32">
        <v>54332</v>
      </c>
      <c r="C32">
        <v>648986</v>
      </c>
      <c r="D32" s="5">
        <v>46007.236284722225</v>
      </c>
      <c r="E32">
        <v>1396625</v>
      </c>
      <c r="F32">
        <v>1396625</v>
      </c>
      <c r="G32" t="s">
        <v>566</v>
      </c>
      <c r="H32">
        <v>1</v>
      </c>
      <c r="I32">
        <v>1</v>
      </c>
      <c r="J32">
        <v>20251216</v>
      </c>
    </row>
    <row r="33" spans="1:10" x14ac:dyDescent="0.2">
      <c r="A33">
        <v>70690</v>
      </c>
      <c r="B33">
        <v>54332</v>
      </c>
      <c r="C33">
        <v>651452</v>
      </c>
      <c r="D33" s="5">
        <v>46007.256516203706</v>
      </c>
      <c r="E33">
        <v>1396621</v>
      </c>
      <c r="F33">
        <v>1396621</v>
      </c>
      <c r="G33" t="s">
        <v>567</v>
      </c>
      <c r="H33">
        <v>1</v>
      </c>
      <c r="I33">
        <v>1</v>
      </c>
      <c r="J33">
        <v>20251216</v>
      </c>
    </row>
    <row r="34" spans="1:10" x14ac:dyDescent="0.2">
      <c r="A34">
        <v>70690</v>
      </c>
      <c r="B34">
        <v>54332</v>
      </c>
      <c r="C34">
        <v>647426</v>
      </c>
      <c r="D34" s="5">
        <v>46007.236192129632</v>
      </c>
      <c r="E34">
        <v>1396625</v>
      </c>
      <c r="F34">
        <v>1396625</v>
      </c>
      <c r="G34" t="s">
        <v>568</v>
      </c>
      <c r="H34">
        <v>1</v>
      </c>
      <c r="I34">
        <v>1</v>
      </c>
      <c r="J34">
        <v>20251216</v>
      </c>
    </row>
    <row r="35" spans="1:10" x14ac:dyDescent="0.2">
      <c r="A35">
        <v>70690</v>
      </c>
      <c r="B35">
        <v>54332</v>
      </c>
      <c r="C35">
        <v>651452</v>
      </c>
      <c r="D35" s="5">
        <v>46007.245185185187</v>
      </c>
      <c r="E35">
        <v>1396623</v>
      </c>
      <c r="F35">
        <v>1396623</v>
      </c>
      <c r="G35" t="s">
        <v>567</v>
      </c>
      <c r="H35">
        <v>1</v>
      </c>
      <c r="I35">
        <v>1</v>
      </c>
      <c r="J35">
        <v>20251216</v>
      </c>
    </row>
    <row r="36" spans="1:10" x14ac:dyDescent="0.2">
      <c r="A36">
        <v>70690</v>
      </c>
      <c r="B36">
        <v>54332</v>
      </c>
      <c r="C36">
        <v>647404</v>
      </c>
      <c r="D36" s="5">
        <v>46007.246851851851</v>
      </c>
      <c r="E36">
        <v>1396623</v>
      </c>
      <c r="F36">
        <v>1396623</v>
      </c>
      <c r="G36" t="s">
        <v>568</v>
      </c>
      <c r="H36">
        <v>0</v>
      </c>
      <c r="I36">
        <v>1</v>
      </c>
      <c r="J36">
        <v>20251216</v>
      </c>
    </row>
    <row r="37" spans="1:10" x14ac:dyDescent="0.2">
      <c r="A37">
        <v>70690</v>
      </c>
      <c r="B37">
        <v>54332</v>
      </c>
      <c r="C37">
        <v>647404</v>
      </c>
      <c r="D37" s="5">
        <v>46007.249594907407</v>
      </c>
      <c r="E37">
        <v>1396622</v>
      </c>
      <c r="F37">
        <v>1396622</v>
      </c>
      <c r="G37" t="s">
        <v>568</v>
      </c>
      <c r="H37">
        <v>1</v>
      </c>
      <c r="I37">
        <v>1</v>
      </c>
      <c r="J37">
        <v>20251216</v>
      </c>
    </row>
    <row r="38" spans="1:10" x14ac:dyDescent="0.2">
      <c r="A38">
        <v>70690</v>
      </c>
      <c r="B38">
        <v>54332</v>
      </c>
      <c r="C38">
        <v>647295</v>
      </c>
      <c r="D38" s="5">
        <v>46007.240104166667</v>
      </c>
      <c r="E38">
        <v>1396618</v>
      </c>
      <c r="F38">
        <v>1396625</v>
      </c>
      <c r="G38" t="s">
        <v>568</v>
      </c>
      <c r="H38">
        <v>1</v>
      </c>
      <c r="I38">
        <v>1</v>
      </c>
      <c r="J38">
        <v>20251216</v>
      </c>
    </row>
    <row r="39" spans="1:10" x14ac:dyDescent="0.2">
      <c r="A39">
        <v>70690</v>
      </c>
      <c r="B39">
        <v>54332</v>
      </c>
      <c r="C39">
        <v>652929</v>
      </c>
      <c r="D39" s="5">
        <v>46007.238043981481</v>
      </c>
      <c r="E39">
        <v>1396605</v>
      </c>
      <c r="F39">
        <v>1396625</v>
      </c>
      <c r="G39" t="s">
        <v>566</v>
      </c>
      <c r="H39">
        <v>1</v>
      </c>
      <c r="I39">
        <v>1</v>
      </c>
      <c r="J39">
        <v>20251216</v>
      </c>
    </row>
    <row r="40" spans="1:10" x14ac:dyDescent="0.2">
      <c r="A40">
        <v>70690</v>
      </c>
      <c r="B40">
        <v>54332</v>
      </c>
      <c r="C40">
        <v>647411</v>
      </c>
      <c r="D40" s="5">
        <v>46007.231099537035</v>
      </c>
      <c r="E40">
        <v>1396599</v>
      </c>
      <c r="G40" t="s">
        <v>569</v>
      </c>
      <c r="H40">
        <v>0</v>
      </c>
      <c r="I40">
        <v>5</v>
      </c>
      <c r="J40">
        <v>20251216</v>
      </c>
    </row>
    <row r="41" spans="1:10" x14ac:dyDescent="0.2">
      <c r="A41">
        <v>70690</v>
      </c>
      <c r="B41">
        <v>54332</v>
      </c>
      <c r="C41">
        <v>647433</v>
      </c>
      <c r="D41" s="5">
        <v>46007.256539351853</v>
      </c>
      <c r="E41">
        <v>1396621</v>
      </c>
      <c r="F41">
        <v>1396621</v>
      </c>
      <c r="G41" t="s">
        <v>567</v>
      </c>
      <c r="H41">
        <v>1</v>
      </c>
      <c r="I41">
        <v>1</v>
      </c>
      <c r="J41">
        <v>20251216</v>
      </c>
    </row>
    <row r="42" spans="1:10" x14ac:dyDescent="0.2">
      <c r="A42">
        <v>70690</v>
      </c>
      <c r="B42">
        <v>54332</v>
      </c>
      <c r="C42">
        <v>647426</v>
      </c>
      <c r="D42" s="5">
        <v>46007.245185185187</v>
      </c>
      <c r="E42">
        <v>1396623</v>
      </c>
      <c r="F42">
        <v>1396623</v>
      </c>
      <c r="G42" t="s">
        <v>568</v>
      </c>
      <c r="H42">
        <v>1</v>
      </c>
      <c r="I42">
        <v>1</v>
      </c>
      <c r="J42">
        <v>20251216</v>
      </c>
    </row>
    <row r="43" spans="1:10" x14ac:dyDescent="0.2">
      <c r="A43">
        <v>70690</v>
      </c>
      <c r="B43">
        <v>54332</v>
      </c>
      <c r="C43">
        <v>647426</v>
      </c>
      <c r="D43" s="5">
        <v>46007.242708333331</v>
      </c>
      <c r="E43">
        <v>1396624</v>
      </c>
      <c r="F43">
        <v>1396624</v>
      </c>
      <c r="G43" t="s">
        <v>567</v>
      </c>
      <c r="H43">
        <v>1</v>
      </c>
      <c r="I43">
        <v>1</v>
      </c>
      <c r="J43">
        <v>20251216</v>
      </c>
    </row>
    <row r="44" spans="1:10" x14ac:dyDescent="0.2">
      <c r="A44">
        <v>70690</v>
      </c>
      <c r="B44">
        <v>54332</v>
      </c>
      <c r="C44">
        <v>652934</v>
      </c>
      <c r="D44" s="5">
        <v>46007.249409722222</v>
      </c>
      <c r="E44">
        <v>1396622</v>
      </c>
      <c r="F44">
        <v>1396622</v>
      </c>
      <c r="G44" t="s">
        <v>568</v>
      </c>
      <c r="H44">
        <v>1</v>
      </c>
      <c r="I44">
        <v>1</v>
      </c>
      <c r="J44">
        <v>20251216</v>
      </c>
    </row>
    <row r="45" spans="1:10" x14ac:dyDescent="0.2">
      <c r="A45">
        <v>70690</v>
      </c>
      <c r="B45">
        <v>54332</v>
      </c>
      <c r="C45">
        <v>647411</v>
      </c>
      <c r="D45" s="5">
        <v>46007.242766203701</v>
      </c>
      <c r="E45">
        <v>1396624</v>
      </c>
      <c r="F45">
        <v>1396624</v>
      </c>
      <c r="G45" t="s">
        <v>568</v>
      </c>
      <c r="H45">
        <v>1</v>
      </c>
      <c r="I45">
        <v>1</v>
      </c>
      <c r="J45">
        <v>20251216</v>
      </c>
    </row>
    <row r="46" spans="1:10" x14ac:dyDescent="0.2">
      <c r="A46">
        <v>70690</v>
      </c>
      <c r="B46">
        <v>54332</v>
      </c>
      <c r="C46">
        <v>647748</v>
      </c>
      <c r="D46" s="5">
        <v>46007.249537037038</v>
      </c>
      <c r="E46">
        <v>1396622</v>
      </c>
      <c r="F46">
        <v>1396622</v>
      </c>
      <c r="G46" t="s">
        <v>566</v>
      </c>
      <c r="H46">
        <v>1</v>
      </c>
      <c r="I46">
        <v>1</v>
      </c>
      <c r="J46">
        <v>20251216</v>
      </c>
    </row>
    <row r="47" spans="1:10" x14ac:dyDescent="0.2">
      <c r="A47">
        <v>70690</v>
      </c>
      <c r="B47">
        <v>54332</v>
      </c>
      <c r="C47">
        <v>647411</v>
      </c>
      <c r="D47" s="5">
        <v>46007.243854166663</v>
      </c>
      <c r="E47">
        <v>1396624</v>
      </c>
      <c r="F47">
        <v>1396624</v>
      </c>
      <c r="G47" t="s">
        <v>568</v>
      </c>
      <c r="H47">
        <v>0</v>
      </c>
      <c r="I47">
        <v>1</v>
      </c>
      <c r="J47">
        <v>20251216</v>
      </c>
    </row>
    <row r="48" spans="1:10" x14ac:dyDescent="0.2">
      <c r="A48">
        <v>70690</v>
      </c>
      <c r="B48">
        <v>54332</v>
      </c>
      <c r="C48">
        <v>648953</v>
      </c>
      <c r="D48" s="5">
        <v>46007.245312500003</v>
      </c>
      <c r="E48">
        <v>1396623</v>
      </c>
      <c r="F48">
        <v>1396623</v>
      </c>
      <c r="G48" t="s">
        <v>566</v>
      </c>
      <c r="H48">
        <v>1</v>
      </c>
      <c r="I48">
        <v>1</v>
      </c>
      <c r="J48">
        <v>20251216</v>
      </c>
    </row>
    <row r="49" spans="1:10" x14ac:dyDescent="0.2">
      <c r="A49">
        <v>70690</v>
      </c>
      <c r="B49">
        <v>54332</v>
      </c>
      <c r="C49">
        <v>648959</v>
      </c>
      <c r="D49" s="5">
        <v>46007.242708333331</v>
      </c>
      <c r="E49">
        <v>1396624</v>
      </c>
      <c r="F49">
        <v>1396624</v>
      </c>
      <c r="G49" t="s">
        <v>568</v>
      </c>
      <c r="H49">
        <v>1</v>
      </c>
      <c r="I49">
        <v>1</v>
      </c>
      <c r="J49">
        <v>20251216</v>
      </c>
    </row>
    <row r="50" spans="1:10" x14ac:dyDescent="0.2">
      <c r="A50">
        <v>70690</v>
      </c>
      <c r="B50">
        <v>54332</v>
      </c>
      <c r="C50">
        <v>647404</v>
      </c>
      <c r="D50" s="5">
        <v>46007.256527777776</v>
      </c>
      <c r="E50">
        <v>1396621</v>
      </c>
      <c r="F50">
        <v>1396621</v>
      </c>
      <c r="G50" t="s">
        <v>568</v>
      </c>
      <c r="H50">
        <v>1</v>
      </c>
      <c r="I50">
        <v>1</v>
      </c>
      <c r="J50">
        <v>20251216</v>
      </c>
    </row>
    <row r="51" spans="1:10" x14ac:dyDescent="0.2">
      <c r="A51">
        <v>70690</v>
      </c>
      <c r="B51">
        <v>54332</v>
      </c>
      <c r="C51">
        <v>647496</v>
      </c>
      <c r="D51" s="5">
        <v>46007.242800925924</v>
      </c>
      <c r="E51">
        <v>1396624</v>
      </c>
      <c r="F51">
        <v>1396624</v>
      </c>
      <c r="G51" t="s">
        <v>566</v>
      </c>
      <c r="H51">
        <v>1</v>
      </c>
      <c r="I51">
        <v>1</v>
      </c>
      <c r="J51">
        <v>20251216</v>
      </c>
    </row>
    <row r="52" spans="1:10" x14ac:dyDescent="0.2">
      <c r="A52">
        <v>70690</v>
      </c>
      <c r="B52">
        <v>54332</v>
      </c>
      <c r="C52">
        <v>647499</v>
      </c>
      <c r="D52" s="5">
        <v>46007.249664351853</v>
      </c>
      <c r="E52">
        <v>1396622</v>
      </c>
      <c r="F52">
        <v>1396622</v>
      </c>
      <c r="G52" t="s">
        <v>568</v>
      </c>
      <c r="H52">
        <v>1</v>
      </c>
      <c r="I52">
        <v>1</v>
      </c>
      <c r="J52">
        <v>20251216</v>
      </c>
    </row>
    <row r="53" spans="1:10" x14ac:dyDescent="0.2">
      <c r="A53">
        <v>70690</v>
      </c>
      <c r="B53">
        <v>54332</v>
      </c>
      <c r="C53">
        <v>652958</v>
      </c>
      <c r="D53" s="5">
        <v>46007.249444444446</v>
      </c>
      <c r="E53">
        <v>1396622</v>
      </c>
      <c r="F53">
        <v>1396622</v>
      </c>
      <c r="G53" t="s">
        <v>568</v>
      </c>
      <c r="H53">
        <v>1</v>
      </c>
      <c r="I53">
        <v>1</v>
      </c>
      <c r="J53">
        <v>20251216</v>
      </c>
    </row>
    <row r="54" spans="1:10" x14ac:dyDescent="0.2">
      <c r="A54">
        <v>70690</v>
      </c>
      <c r="B54">
        <v>54332</v>
      </c>
      <c r="C54">
        <v>648951</v>
      </c>
      <c r="D54" s="5">
        <v>46007.262986111113</v>
      </c>
      <c r="E54">
        <v>1396620</v>
      </c>
      <c r="F54">
        <v>1396620</v>
      </c>
      <c r="G54" t="s">
        <v>570</v>
      </c>
      <c r="H54">
        <v>1</v>
      </c>
      <c r="I54">
        <v>1</v>
      </c>
      <c r="J54">
        <v>20251216</v>
      </c>
    </row>
    <row r="55" spans="1:10" x14ac:dyDescent="0.2">
      <c r="A55">
        <v>70690</v>
      </c>
      <c r="B55">
        <v>54332</v>
      </c>
      <c r="C55">
        <v>648959</v>
      </c>
      <c r="D55" s="5">
        <v>46007.245185185187</v>
      </c>
      <c r="E55">
        <v>1396623</v>
      </c>
      <c r="F55">
        <v>1396623</v>
      </c>
      <c r="G55" t="s">
        <v>568</v>
      </c>
      <c r="H55">
        <v>1</v>
      </c>
      <c r="I55">
        <v>1</v>
      </c>
      <c r="J55">
        <v>20251216</v>
      </c>
    </row>
    <row r="56" spans="1:10" x14ac:dyDescent="0.2">
      <c r="A56">
        <v>70690</v>
      </c>
      <c r="B56">
        <v>54332</v>
      </c>
      <c r="C56">
        <v>647496</v>
      </c>
      <c r="D56" s="5">
        <v>46007.249456018515</v>
      </c>
      <c r="E56">
        <v>1396622</v>
      </c>
      <c r="F56">
        <v>1396622</v>
      </c>
      <c r="G56" t="s">
        <v>566</v>
      </c>
      <c r="H56">
        <v>1</v>
      </c>
      <c r="I56">
        <v>1</v>
      </c>
      <c r="J56">
        <v>20251216</v>
      </c>
    </row>
    <row r="57" spans="1:10" x14ac:dyDescent="0.2">
      <c r="A57">
        <v>70690</v>
      </c>
      <c r="B57">
        <v>54332</v>
      </c>
      <c r="C57">
        <v>648986</v>
      </c>
      <c r="D57" s="5">
        <v>46007.245925925927</v>
      </c>
      <c r="E57">
        <v>1396623</v>
      </c>
      <c r="F57">
        <v>1396623</v>
      </c>
      <c r="G57" t="s">
        <v>566</v>
      </c>
      <c r="H57">
        <v>1</v>
      </c>
      <c r="I57">
        <v>1</v>
      </c>
      <c r="J57">
        <v>20251216</v>
      </c>
    </row>
    <row r="58" spans="1:10" x14ac:dyDescent="0.2">
      <c r="A58">
        <v>70690</v>
      </c>
      <c r="B58">
        <v>54332</v>
      </c>
      <c r="C58">
        <v>652934</v>
      </c>
      <c r="D58" s="5">
        <v>46007.256550925929</v>
      </c>
      <c r="E58">
        <v>1396621</v>
      </c>
      <c r="F58">
        <v>1396621</v>
      </c>
      <c r="G58" t="s">
        <v>568</v>
      </c>
      <c r="H58">
        <v>1</v>
      </c>
      <c r="I58">
        <v>1</v>
      </c>
      <c r="J58">
        <v>20251216</v>
      </c>
    </row>
    <row r="59" spans="1:10" x14ac:dyDescent="0.2">
      <c r="A59">
        <v>70690</v>
      </c>
      <c r="B59">
        <v>54332</v>
      </c>
      <c r="C59">
        <v>648986</v>
      </c>
      <c r="D59" s="5">
        <v>46007.242719907408</v>
      </c>
      <c r="E59">
        <v>1396624</v>
      </c>
      <c r="F59">
        <v>1396624</v>
      </c>
      <c r="G59" t="s">
        <v>566</v>
      </c>
      <c r="H59">
        <v>1</v>
      </c>
      <c r="I59">
        <v>1</v>
      </c>
      <c r="J59">
        <v>20251216</v>
      </c>
    </row>
    <row r="60" spans="1:10" x14ac:dyDescent="0.2">
      <c r="A60">
        <v>70690</v>
      </c>
      <c r="B60">
        <v>54332</v>
      </c>
      <c r="C60">
        <v>652940</v>
      </c>
      <c r="D60" s="5">
        <v>46007.248530092591</v>
      </c>
      <c r="E60">
        <v>1396616</v>
      </c>
      <c r="F60">
        <v>1396623</v>
      </c>
      <c r="G60" t="s">
        <v>566</v>
      </c>
      <c r="H60">
        <v>1</v>
      </c>
      <c r="I60">
        <v>1</v>
      </c>
      <c r="J60">
        <v>20251216</v>
      </c>
    </row>
    <row r="61" spans="1:10" x14ac:dyDescent="0.2">
      <c r="A61">
        <v>70690</v>
      </c>
      <c r="B61">
        <v>54332</v>
      </c>
      <c r="C61">
        <v>647411</v>
      </c>
      <c r="D61" s="5">
        <v>46007.245185185187</v>
      </c>
      <c r="E61">
        <v>1396623</v>
      </c>
      <c r="F61">
        <v>1396623</v>
      </c>
      <c r="G61" t="s">
        <v>567</v>
      </c>
      <c r="H61">
        <v>1</v>
      </c>
      <c r="I61">
        <v>1</v>
      </c>
      <c r="J61">
        <v>20251216</v>
      </c>
    </row>
    <row r="62" spans="1:10" x14ac:dyDescent="0.2">
      <c r="A62">
        <v>70690</v>
      </c>
      <c r="B62">
        <v>54332</v>
      </c>
      <c r="C62">
        <v>647426</v>
      </c>
      <c r="D62" s="5">
        <v>46007.250752314816</v>
      </c>
      <c r="E62">
        <v>1396622</v>
      </c>
      <c r="F62">
        <v>1396622</v>
      </c>
      <c r="G62" t="s">
        <v>568</v>
      </c>
      <c r="H62">
        <v>1</v>
      </c>
      <c r="I62">
        <v>1</v>
      </c>
      <c r="J62">
        <v>20251216</v>
      </c>
    </row>
    <row r="63" spans="1:10" x14ac:dyDescent="0.2">
      <c r="A63">
        <v>70690</v>
      </c>
      <c r="B63">
        <v>54332</v>
      </c>
      <c r="C63">
        <v>647496</v>
      </c>
      <c r="D63" s="5">
        <v>46007.245243055557</v>
      </c>
      <c r="E63">
        <v>1396623</v>
      </c>
      <c r="F63">
        <v>1396623</v>
      </c>
      <c r="G63" t="s">
        <v>566</v>
      </c>
      <c r="H63">
        <v>1</v>
      </c>
      <c r="I63">
        <v>1</v>
      </c>
      <c r="J63">
        <v>20251216</v>
      </c>
    </row>
    <row r="64" spans="1:10" x14ac:dyDescent="0.2">
      <c r="A64">
        <v>70690</v>
      </c>
      <c r="B64">
        <v>54332</v>
      </c>
      <c r="C64">
        <v>647411</v>
      </c>
      <c r="D64" s="5">
        <v>46007.249421296299</v>
      </c>
      <c r="E64">
        <v>1396622</v>
      </c>
      <c r="F64">
        <v>1396622</v>
      </c>
      <c r="G64" t="s">
        <v>568</v>
      </c>
      <c r="H64">
        <v>1</v>
      </c>
      <c r="I64">
        <v>1</v>
      </c>
      <c r="J64">
        <v>20251216</v>
      </c>
    </row>
    <row r="65" spans="1:10" x14ac:dyDescent="0.2">
      <c r="A65">
        <v>70690</v>
      </c>
      <c r="B65">
        <v>54332</v>
      </c>
      <c r="C65">
        <v>647404</v>
      </c>
      <c r="D65" s="5">
        <v>46007.245335648149</v>
      </c>
      <c r="E65">
        <v>1396623</v>
      </c>
      <c r="F65">
        <v>1396623</v>
      </c>
      <c r="G65" t="s">
        <v>568</v>
      </c>
      <c r="H65">
        <v>1</v>
      </c>
      <c r="I65">
        <v>1</v>
      </c>
      <c r="J65">
        <v>20251216</v>
      </c>
    </row>
    <row r="66" spans="1:10" x14ac:dyDescent="0.2">
      <c r="A66">
        <v>70690</v>
      </c>
      <c r="B66">
        <v>54332</v>
      </c>
      <c r="C66">
        <v>652938</v>
      </c>
      <c r="D66" s="5">
        <v>46007.256678240738</v>
      </c>
      <c r="E66">
        <v>1396621</v>
      </c>
      <c r="F66">
        <v>1396622</v>
      </c>
      <c r="G66" t="s">
        <v>566</v>
      </c>
      <c r="H66">
        <v>1</v>
      </c>
      <c r="I66">
        <v>1</v>
      </c>
      <c r="J66">
        <v>20251216</v>
      </c>
    </row>
    <row r="67" spans="1:10" x14ac:dyDescent="0.2">
      <c r="A67">
        <v>70690</v>
      </c>
      <c r="B67">
        <v>54332</v>
      </c>
      <c r="C67">
        <v>647411</v>
      </c>
      <c r="D67" s="5">
        <v>46007.236030092594</v>
      </c>
      <c r="E67">
        <v>1396625</v>
      </c>
      <c r="F67">
        <v>1396625</v>
      </c>
      <c r="G67" t="s">
        <v>567</v>
      </c>
      <c r="H67">
        <v>1</v>
      </c>
      <c r="I67">
        <v>1</v>
      </c>
      <c r="J67">
        <v>20251216</v>
      </c>
    </row>
    <row r="68" spans="1:10" x14ac:dyDescent="0.2">
      <c r="A68">
        <v>70690</v>
      </c>
      <c r="B68">
        <v>54332</v>
      </c>
      <c r="C68">
        <v>647499</v>
      </c>
      <c r="D68" s="5">
        <v>46007.242708333331</v>
      </c>
      <c r="E68">
        <v>1396624</v>
      </c>
      <c r="F68">
        <v>1396624</v>
      </c>
      <c r="G68" t="s">
        <v>568</v>
      </c>
      <c r="H68">
        <v>1</v>
      </c>
      <c r="I68">
        <v>1</v>
      </c>
      <c r="J68">
        <v>20251216</v>
      </c>
    </row>
    <row r="69" spans="1:10" x14ac:dyDescent="0.2">
      <c r="A69">
        <v>70690</v>
      </c>
      <c r="B69">
        <v>54332</v>
      </c>
      <c r="C69">
        <v>648959</v>
      </c>
      <c r="D69" s="5">
        <v>46007.236030092594</v>
      </c>
      <c r="E69">
        <v>1396625</v>
      </c>
      <c r="F69">
        <v>1396625</v>
      </c>
      <c r="G69" t="s">
        <v>570</v>
      </c>
      <c r="H69">
        <v>1</v>
      </c>
      <c r="I69">
        <v>1</v>
      </c>
      <c r="J69">
        <v>20251216</v>
      </c>
    </row>
    <row r="70" spans="1:10" x14ac:dyDescent="0.2">
      <c r="A70">
        <v>70690</v>
      </c>
      <c r="B70">
        <v>54332</v>
      </c>
      <c r="C70">
        <v>652940</v>
      </c>
      <c r="D70" s="5">
        <v>46007.243206018517</v>
      </c>
      <c r="E70">
        <v>1396624</v>
      </c>
      <c r="F70">
        <v>1396624</v>
      </c>
      <c r="G70" t="s">
        <v>566</v>
      </c>
      <c r="H70">
        <v>1</v>
      </c>
      <c r="I70">
        <v>1</v>
      </c>
      <c r="J70">
        <v>20251216</v>
      </c>
    </row>
    <row r="71" spans="1:10" x14ac:dyDescent="0.2">
      <c r="A71">
        <v>70690</v>
      </c>
      <c r="B71">
        <v>54332</v>
      </c>
      <c r="C71">
        <v>652958</v>
      </c>
      <c r="D71" s="5">
        <v>46007.245185185187</v>
      </c>
      <c r="E71">
        <v>1396623</v>
      </c>
      <c r="F71">
        <v>1396623</v>
      </c>
      <c r="G71" t="s">
        <v>566</v>
      </c>
      <c r="H71">
        <v>1</v>
      </c>
      <c r="I71">
        <v>1</v>
      </c>
      <c r="J71">
        <v>20251216</v>
      </c>
    </row>
    <row r="72" spans="1:10" x14ac:dyDescent="0.2">
      <c r="A72">
        <v>70690</v>
      </c>
      <c r="B72">
        <v>54332</v>
      </c>
      <c r="C72">
        <v>648953</v>
      </c>
      <c r="D72" s="5">
        <v>46007.244293981479</v>
      </c>
      <c r="E72">
        <v>1396608</v>
      </c>
      <c r="F72">
        <v>1396624</v>
      </c>
      <c r="G72" t="s">
        <v>568</v>
      </c>
      <c r="H72">
        <v>1</v>
      </c>
      <c r="I72">
        <v>1</v>
      </c>
      <c r="J72">
        <v>20251216</v>
      </c>
    </row>
    <row r="73" spans="1:10" x14ac:dyDescent="0.2">
      <c r="A73">
        <v>70690</v>
      </c>
      <c r="B73">
        <v>54332</v>
      </c>
      <c r="C73">
        <v>657525</v>
      </c>
      <c r="D73" s="5">
        <v>46007.236192129632</v>
      </c>
      <c r="E73">
        <v>1396625</v>
      </c>
      <c r="F73">
        <v>1396625</v>
      </c>
      <c r="G73" t="s">
        <v>566</v>
      </c>
      <c r="H73">
        <v>1</v>
      </c>
      <c r="I73">
        <v>1</v>
      </c>
      <c r="J73">
        <v>20251216</v>
      </c>
    </row>
    <row r="74" spans="1:10" x14ac:dyDescent="0.2">
      <c r="A74">
        <v>70690</v>
      </c>
      <c r="B74">
        <v>54332</v>
      </c>
      <c r="C74">
        <v>647411</v>
      </c>
      <c r="D74" s="5">
        <v>46007.247824074075</v>
      </c>
      <c r="E74">
        <v>1396610</v>
      </c>
      <c r="G74" t="s">
        <v>568</v>
      </c>
      <c r="H74">
        <v>0</v>
      </c>
      <c r="I74">
        <v>1</v>
      </c>
      <c r="J74">
        <v>20251216</v>
      </c>
    </row>
    <row r="75" spans="1:10" x14ac:dyDescent="0.2">
      <c r="A75">
        <v>70690</v>
      </c>
      <c r="B75">
        <v>54332</v>
      </c>
      <c r="C75">
        <v>648959</v>
      </c>
      <c r="D75" s="5">
        <v>46007.229826388888</v>
      </c>
      <c r="E75">
        <v>1396599</v>
      </c>
      <c r="G75" t="s">
        <v>568</v>
      </c>
      <c r="H75">
        <v>0</v>
      </c>
      <c r="I75">
        <v>1</v>
      </c>
      <c r="J75">
        <v>20251216</v>
      </c>
    </row>
    <row r="76" spans="1:10" x14ac:dyDescent="0.2">
      <c r="A76">
        <v>70690</v>
      </c>
      <c r="B76">
        <v>54332</v>
      </c>
      <c r="C76">
        <v>647433</v>
      </c>
      <c r="D76" s="5">
        <v>46007.245196759257</v>
      </c>
      <c r="E76">
        <v>1396623</v>
      </c>
      <c r="F76">
        <v>1396623</v>
      </c>
      <c r="G76" t="s">
        <v>567</v>
      </c>
      <c r="H76">
        <v>1</v>
      </c>
      <c r="I76">
        <v>1</v>
      </c>
      <c r="J76">
        <v>20251216</v>
      </c>
    </row>
    <row r="77" spans="1:10" x14ac:dyDescent="0.2">
      <c r="A77">
        <v>70690</v>
      </c>
      <c r="B77">
        <v>54332</v>
      </c>
      <c r="C77">
        <v>647499</v>
      </c>
      <c r="D77" s="5">
        <v>46007.236030092594</v>
      </c>
      <c r="E77">
        <v>1396625</v>
      </c>
      <c r="F77">
        <v>1396625</v>
      </c>
      <c r="G77" t="s">
        <v>567</v>
      </c>
      <c r="H77">
        <v>1</v>
      </c>
      <c r="I77">
        <v>1</v>
      </c>
      <c r="J77">
        <v>20251216</v>
      </c>
    </row>
    <row r="78" spans="1:10" x14ac:dyDescent="0.2">
      <c r="A78">
        <v>70690</v>
      </c>
      <c r="B78">
        <v>54332</v>
      </c>
      <c r="C78">
        <v>657525</v>
      </c>
      <c r="D78" s="5">
        <v>46007.249421296299</v>
      </c>
      <c r="E78">
        <v>1396622</v>
      </c>
      <c r="F78">
        <v>1396622</v>
      </c>
      <c r="G78" t="s">
        <v>566</v>
      </c>
      <c r="H78">
        <v>1</v>
      </c>
      <c r="I78">
        <v>1</v>
      </c>
      <c r="J78">
        <v>20251216</v>
      </c>
    </row>
    <row r="79" spans="1:10" x14ac:dyDescent="0.2">
      <c r="A79">
        <v>70690</v>
      </c>
      <c r="B79">
        <v>54332</v>
      </c>
      <c r="C79">
        <v>647433</v>
      </c>
      <c r="D79" s="5">
        <v>46007.242708333331</v>
      </c>
      <c r="E79">
        <v>1396624</v>
      </c>
      <c r="F79">
        <v>1396624</v>
      </c>
      <c r="G79" t="s">
        <v>567</v>
      </c>
      <c r="H79">
        <v>1</v>
      </c>
      <c r="I79">
        <v>1</v>
      </c>
      <c r="J79">
        <v>20251216</v>
      </c>
    </row>
    <row r="80" spans="1:10" x14ac:dyDescent="0.2">
      <c r="A80">
        <v>70690</v>
      </c>
      <c r="B80">
        <v>54332</v>
      </c>
      <c r="C80">
        <v>652934</v>
      </c>
      <c r="D80" s="5">
        <v>46007.242708333331</v>
      </c>
      <c r="E80">
        <v>1396624</v>
      </c>
      <c r="F80">
        <v>1396624</v>
      </c>
      <c r="G80" t="s">
        <v>568</v>
      </c>
      <c r="H80">
        <v>1</v>
      </c>
      <c r="I80">
        <v>1</v>
      </c>
      <c r="J80">
        <v>20251216</v>
      </c>
    </row>
    <row r="81" spans="1:10" x14ac:dyDescent="0.2">
      <c r="A81">
        <v>70690</v>
      </c>
      <c r="B81">
        <v>54332</v>
      </c>
      <c r="C81">
        <v>647499</v>
      </c>
      <c r="D81" s="5">
        <v>46007.245185185187</v>
      </c>
      <c r="E81">
        <v>1396623</v>
      </c>
      <c r="F81">
        <v>1396623</v>
      </c>
      <c r="G81" t="s">
        <v>568</v>
      </c>
      <c r="H81">
        <v>1</v>
      </c>
      <c r="I81">
        <v>1</v>
      </c>
      <c r="J81">
        <v>20251216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28F38-C193-A249-A383-82044D845BA8}">
  <dimension ref="A1:AT232"/>
  <sheetViews>
    <sheetView workbookViewId="0">
      <selection sqref="A1:XFD1048576"/>
    </sheetView>
  </sheetViews>
  <sheetFormatPr baseColWidth="10" defaultRowHeight="16" x14ac:dyDescent="0.2"/>
  <sheetData>
    <row r="1" spans="1:46" x14ac:dyDescent="0.2">
      <c r="A1" t="s">
        <v>571</v>
      </c>
      <c r="B1" t="s">
        <v>572</v>
      </c>
      <c r="C1" t="s">
        <v>573</v>
      </c>
      <c r="D1" t="s">
        <v>574</v>
      </c>
      <c r="E1" t="s">
        <v>575</v>
      </c>
      <c r="F1" t="s">
        <v>437</v>
      </c>
      <c r="G1" t="s">
        <v>411</v>
      </c>
      <c r="H1" t="s">
        <v>576</v>
      </c>
      <c r="I1" t="s">
        <v>577</v>
      </c>
      <c r="J1" t="s">
        <v>578</v>
      </c>
      <c r="K1" t="s">
        <v>579</v>
      </c>
      <c r="L1" t="s">
        <v>580</v>
      </c>
      <c r="M1" t="s">
        <v>581</v>
      </c>
      <c r="N1" t="s">
        <v>405</v>
      </c>
      <c r="O1" t="s">
        <v>582</v>
      </c>
      <c r="P1" t="s">
        <v>583</v>
      </c>
      <c r="Q1" t="s">
        <v>584</v>
      </c>
      <c r="R1" t="s">
        <v>585</v>
      </c>
      <c r="S1" t="s">
        <v>586</v>
      </c>
      <c r="T1" t="s">
        <v>587</v>
      </c>
      <c r="U1" t="s">
        <v>588</v>
      </c>
      <c r="V1" t="s">
        <v>589</v>
      </c>
      <c r="W1" t="s">
        <v>590</v>
      </c>
      <c r="X1" t="s">
        <v>591</v>
      </c>
      <c r="Y1" t="s">
        <v>592</v>
      </c>
      <c r="Z1" t="s">
        <v>593</v>
      </c>
      <c r="AA1" t="s">
        <v>594</v>
      </c>
      <c r="AB1" t="s">
        <v>595</v>
      </c>
      <c r="AC1" t="s">
        <v>596</v>
      </c>
      <c r="AD1" t="s">
        <v>597</v>
      </c>
      <c r="AE1" t="s">
        <v>598</v>
      </c>
      <c r="AF1" t="s">
        <v>599</v>
      </c>
      <c r="AG1" t="s">
        <v>600</v>
      </c>
      <c r="AH1" t="s">
        <v>601</v>
      </c>
      <c r="AI1" t="s">
        <v>602</v>
      </c>
    </row>
    <row r="2" spans="1:46" x14ac:dyDescent="0.2">
      <c r="A2" t="s">
        <v>603</v>
      </c>
      <c r="B2" t="s">
        <v>604</v>
      </c>
      <c r="C2" t="s">
        <v>605</v>
      </c>
      <c r="D2">
        <v>342115</v>
      </c>
      <c r="E2" t="s">
        <v>606</v>
      </c>
      <c r="F2">
        <v>14796</v>
      </c>
      <c r="G2">
        <v>70690</v>
      </c>
      <c r="J2">
        <v>148836</v>
      </c>
      <c r="K2">
        <v>0</v>
      </c>
      <c r="L2">
        <v>1</v>
      </c>
      <c r="M2">
        <v>1</v>
      </c>
      <c r="N2">
        <v>647404</v>
      </c>
      <c r="O2" t="s">
        <v>607</v>
      </c>
      <c r="P2">
        <v>18098</v>
      </c>
      <c r="Q2" t="s">
        <v>608</v>
      </c>
      <c r="R2">
        <v>1</v>
      </c>
      <c r="S2" t="s">
        <v>609</v>
      </c>
      <c r="T2">
        <v>0</v>
      </c>
      <c r="U2" t="s">
        <v>610</v>
      </c>
      <c r="V2">
        <v>91485</v>
      </c>
      <c r="X2">
        <v>91485</v>
      </c>
      <c r="Y2">
        <v>1</v>
      </c>
      <c r="Z2" s="5">
        <v>46007.260416666664</v>
      </c>
      <c r="AA2" s="5">
        <v>46007.260416666664</v>
      </c>
      <c r="AB2">
        <v>17</v>
      </c>
      <c r="AC2">
        <v>1</v>
      </c>
      <c r="AD2">
        <v>557612</v>
      </c>
      <c r="AE2">
        <v>0</v>
      </c>
      <c r="AF2" s="5">
        <v>46002.440972222219</v>
      </c>
      <c r="AG2" s="5">
        <v>46002.440972222219</v>
      </c>
      <c r="AH2" s="5">
        <v>46007.260416666664</v>
      </c>
      <c r="AI2">
        <v>1</v>
      </c>
    </row>
    <row r="3" spans="1:46" x14ac:dyDescent="0.2">
      <c r="A3" t="s">
        <v>611</v>
      </c>
      <c r="B3" t="s">
        <v>604</v>
      </c>
      <c r="C3" t="s">
        <v>605</v>
      </c>
      <c r="D3">
        <v>342115</v>
      </c>
      <c r="E3" t="s">
        <v>606</v>
      </c>
      <c r="F3">
        <v>14796</v>
      </c>
      <c r="G3">
        <v>70690</v>
      </c>
      <c r="J3">
        <v>148836</v>
      </c>
      <c r="K3">
        <v>0</v>
      </c>
      <c r="L3">
        <v>1</v>
      </c>
      <c r="M3">
        <v>1</v>
      </c>
      <c r="N3">
        <v>648959</v>
      </c>
      <c r="O3" t="s">
        <v>607</v>
      </c>
      <c r="P3">
        <v>18098</v>
      </c>
      <c r="Q3" t="s">
        <v>608</v>
      </c>
      <c r="R3">
        <v>1</v>
      </c>
      <c r="S3" t="s">
        <v>609</v>
      </c>
      <c r="T3">
        <v>0</v>
      </c>
      <c r="U3" t="s">
        <v>610</v>
      </c>
      <c r="V3">
        <v>91485</v>
      </c>
      <c r="X3">
        <v>91485</v>
      </c>
      <c r="Y3">
        <v>1</v>
      </c>
      <c r="Z3" s="5">
        <v>46007.261111111111</v>
      </c>
      <c r="AA3" s="5">
        <v>46007.261111111111</v>
      </c>
      <c r="AB3">
        <v>12</v>
      </c>
      <c r="AC3">
        <v>3</v>
      </c>
      <c r="AD3">
        <v>557612</v>
      </c>
      <c r="AE3">
        <v>0</v>
      </c>
      <c r="AF3" s="5">
        <v>46002.440972222219</v>
      </c>
      <c r="AG3" s="5">
        <v>46002.440972222219</v>
      </c>
      <c r="AH3" s="5">
        <v>46007.261111111111</v>
      </c>
      <c r="AI3">
        <v>1</v>
      </c>
      <c r="AL3">
        <v>77</v>
      </c>
      <c r="AM3" t="s">
        <v>573</v>
      </c>
      <c r="AN3" t="s">
        <v>612</v>
      </c>
    </row>
    <row r="4" spans="1:46" x14ac:dyDescent="0.2">
      <c r="A4" t="s">
        <v>613</v>
      </c>
      <c r="B4" t="s">
        <v>604</v>
      </c>
      <c r="C4" t="s">
        <v>605</v>
      </c>
      <c r="D4">
        <v>342115</v>
      </c>
      <c r="E4" t="s">
        <v>606</v>
      </c>
      <c r="F4">
        <v>14796</v>
      </c>
      <c r="G4">
        <v>70690</v>
      </c>
      <c r="J4">
        <v>148836</v>
      </c>
      <c r="K4">
        <v>0</v>
      </c>
      <c r="L4">
        <v>1</v>
      </c>
      <c r="M4">
        <v>1</v>
      </c>
      <c r="N4">
        <v>647306</v>
      </c>
      <c r="O4" t="s">
        <v>607</v>
      </c>
      <c r="P4">
        <v>18098</v>
      </c>
      <c r="Q4" t="s">
        <v>608</v>
      </c>
      <c r="R4">
        <v>1</v>
      </c>
      <c r="S4" t="s">
        <v>609</v>
      </c>
      <c r="T4">
        <v>0</v>
      </c>
      <c r="U4" t="s">
        <v>610</v>
      </c>
      <c r="V4">
        <v>89471</v>
      </c>
      <c r="X4">
        <v>91485</v>
      </c>
      <c r="Y4">
        <v>0</v>
      </c>
      <c r="Z4" s="5">
        <v>46007.259722222225</v>
      </c>
      <c r="AA4" s="5">
        <v>46007.260416666664</v>
      </c>
      <c r="AB4">
        <v>27</v>
      </c>
      <c r="AC4">
        <v>1</v>
      </c>
      <c r="AD4">
        <v>557612</v>
      </c>
      <c r="AE4">
        <v>0</v>
      </c>
      <c r="AF4" s="5">
        <v>46002.440972222219</v>
      </c>
      <c r="AG4" s="5">
        <v>46002.440972222219</v>
      </c>
      <c r="AH4" s="5">
        <v>46007.260416666664</v>
      </c>
      <c r="AI4">
        <v>1</v>
      </c>
    </row>
    <row r="5" spans="1:46" x14ac:dyDescent="0.2">
      <c r="A5" t="s">
        <v>614</v>
      </c>
      <c r="B5" t="s">
        <v>604</v>
      </c>
      <c r="C5" t="s">
        <v>605</v>
      </c>
      <c r="D5">
        <v>342115</v>
      </c>
      <c r="E5" t="s">
        <v>606</v>
      </c>
      <c r="F5">
        <v>14796</v>
      </c>
      <c r="G5">
        <v>70690</v>
      </c>
      <c r="J5">
        <v>148836</v>
      </c>
      <c r="K5">
        <v>0</v>
      </c>
      <c r="L5">
        <v>1</v>
      </c>
      <c r="M5">
        <v>1</v>
      </c>
      <c r="N5">
        <v>647426</v>
      </c>
      <c r="O5" t="s">
        <v>607</v>
      </c>
      <c r="P5">
        <v>18098</v>
      </c>
      <c r="Q5" t="s">
        <v>608</v>
      </c>
      <c r="R5">
        <v>1</v>
      </c>
      <c r="S5" t="s">
        <v>609</v>
      </c>
      <c r="T5">
        <v>0</v>
      </c>
      <c r="U5" t="s">
        <v>610</v>
      </c>
      <c r="V5">
        <v>88112</v>
      </c>
      <c r="X5">
        <v>91485</v>
      </c>
      <c r="Y5">
        <v>0</v>
      </c>
      <c r="Z5" s="5">
        <v>46007.259722222225</v>
      </c>
      <c r="AA5" s="5">
        <v>46007.259722222225</v>
      </c>
      <c r="AB5">
        <v>10</v>
      </c>
      <c r="AC5">
        <v>1</v>
      </c>
      <c r="AD5">
        <v>557612</v>
      </c>
      <c r="AE5">
        <v>0</v>
      </c>
      <c r="AF5" s="5">
        <v>46002.440972222219</v>
      </c>
      <c r="AG5" s="5">
        <v>46002.440972222219</v>
      </c>
      <c r="AH5" s="5">
        <v>46007.259722222225</v>
      </c>
      <c r="AI5">
        <v>1</v>
      </c>
      <c r="AM5" t="s">
        <v>615</v>
      </c>
      <c r="AN5" t="s">
        <v>616</v>
      </c>
      <c r="AO5" t="s">
        <v>617</v>
      </c>
      <c r="AP5" t="s">
        <v>618</v>
      </c>
    </row>
    <row r="6" spans="1:46" x14ac:dyDescent="0.2">
      <c r="A6" t="s">
        <v>619</v>
      </c>
      <c r="B6" t="s">
        <v>604</v>
      </c>
      <c r="C6" t="s">
        <v>605</v>
      </c>
      <c r="D6">
        <v>342115</v>
      </c>
      <c r="E6" t="s">
        <v>606</v>
      </c>
      <c r="F6">
        <v>14796</v>
      </c>
      <c r="G6">
        <v>70690</v>
      </c>
      <c r="J6">
        <v>148836</v>
      </c>
      <c r="K6">
        <v>0</v>
      </c>
      <c r="L6">
        <v>1</v>
      </c>
      <c r="M6">
        <v>1</v>
      </c>
      <c r="N6">
        <v>657525</v>
      </c>
      <c r="O6" t="s">
        <v>607</v>
      </c>
      <c r="P6">
        <v>18098</v>
      </c>
      <c r="Q6" t="s">
        <v>608</v>
      </c>
      <c r="R6">
        <v>1</v>
      </c>
      <c r="S6" t="s">
        <v>609</v>
      </c>
      <c r="T6">
        <v>0</v>
      </c>
      <c r="U6" t="s">
        <v>610</v>
      </c>
      <c r="V6">
        <v>91485</v>
      </c>
      <c r="X6">
        <v>91485</v>
      </c>
      <c r="Y6">
        <v>1</v>
      </c>
      <c r="Z6" s="5">
        <v>46007.260416666664</v>
      </c>
      <c r="AA6" s="5">
        <v>46007.260416666664</v>
      </c>
      <c r="AB6">
        <v>43</v>
      </c>
      <c r="AC6">
        <v>1</v>
      </c>
      <c r="AD6">
        <v>557612</v>
      </c>
      <c r="AE6">
        <v>0</v>
      </c>
      <c r="AF6" s="5">
        <v>46002.440972222219</v>
      </c>
      <c r="AG6" s="5">
        <v>46002.440972222219</v>
      </c>
      <c r="AH6" s="5">
        <v>46007.260416666664</v>
      </c>
      <c r="AI6">
        <v>1</v>
      </c>
      <c r="AM6">
        <v>148841</v>
      </c>
      <c r="AN6">
        <v>3</v>
      </c>
      <c r="AO6">
        <v>12</v>
      </c>
      <c r="AP6">
        <v>17</v>
      </c>
      <c r="AQ6">
        <v>0.17647058800000001</v>
      </c>
      <c r="AS6" t="e">
        <v>#REF!</v>
      </c>
      <c r="AT6" t="e">
        <v>#REF!</v>
      </c>
    </row>
    <row r="7" spans="1:46" x14ac:dyDescent="0.2">
      <c r="A7" t="s">
        <v>620</v>
      </c>
      <c r="B7" t="s">
        <v>604</v>
      </c>
      <c r="C7" t="s">
        <v>605</v>
      </c>
      <c r="D7">
        <v>342115</v>
      </c>
      <c r="E7" t="s">
        <v>606</v>
      </c>
      <c r="F7">
        <v>14796</v>
      </c>
      <c r="G7">
        <v>70690</v>
      </c>
      <c r="J7">
        <v>148836</v>
      </c>
      <c r="K7">
        <v>0</v>
      </c>
      <c r="L7">
        <v>1</v>
      </c>
      <c r="M7">
        <v>1</v>
      </c>
      <c r="N7">
        <v>647748</v>
      </c>
      <c r="O7" t="s">
        <v>607</v>
      </c>
      <c r="P7">
        <v>18098</v>
      </c>
      <c r="Q7" t="s">
        <v>608</v>
      </c>
      <c r="R7">
        <v>1</v>
      </c>
      <c r="S7" t="s">
        <v>609</v>
      </c>
      <c r="T7">
        <v>0</v>
      </c>
      <c r="U7" t="s">
        <v>610</v>
      </c>
      <c r="V7">
        <v>91485</v>
      </c>
      <c r="X7">
        <v>91485</v>
      </c>
      <c r="Y7">
        <v>1</v>
      </c>
      <c r="Z7" s="5">
        <v>46007.259722222225</v>
      </c>
      <c r="AA7" s="5">
        <v>46007.259722222225</v>
      </c>
      <c r="AB7">
        <v>20</v>
      </c>
      <c r="AC7">
        <v>4</v>
      </c>
      <c r="AD7">
        <v>557612</v>
      </c>
      <c r="AE7">
        <v>0</v>
      </c>
      <c r="AF7" s="5">
        <v>46002.440972222219</v>
      </c>
      <c r="AG7" s="5">
        <v>46002.440972222219</v>
      </c>
      <c r="AH7" s="5">
        <v>46007.259722222225</v>
      </c>
      <c r="AI7">
        <v>1</v>
      </c>
      <c r="AM7">
        <v>148840</v>
      </c>
      <c r="AN7">
        <v>7</v>
      </c>
      <c r="AO7">
        <v>11</v>
      </c>
      <c r="AP7">
        <v>18</v>
      </c>
      <c r="AT7" t="e">
        <v>#REF!</v>
      </c>
    </row>
    <row r="8" spans="1:46" x14ac:dyDescent="0.2">
      <c r="A8" t="s">
        <v>621</v>
      </c>
      <c r="B8" t="s">
        <v>604</v>
      </c>
      <c r="C8" t="s">
        <v>605</v>
      </c>
      <c r="D8">
        <v>342115</v>
      </c>
      <c r="E8" t="s">
        <v>606</v>
      </c>
      <c r="F8">
        <v>14796</v>
      </c>
      <c r="G8">
        <v>70690</v>
      </c>
      <c r="J8">
        <v>148836</v>
      </c>
      <c r="K8">
        <v>0</v>
      </c>
      <c r="L8">
        <v>1</v>
      </c>
      <c r="M8">
        <v>1</v>
      </c>
      <c r="N8">
        <v>648953</v>
      </c>
      <c r="O8" t="s">
        <v>607</v>
      </c>
      <c r="P8">
        <v>18098</v>
      </c>
      <c r="Q8" t="s">
        <v>608</v>
      </c>
      <c r="R8">
        <v>1</v>
      </c>
      <c r="S8" t="s">
        <v>609</v>
      </c>
      <c r="T8">
        <v>0</v>
      </c>
      <c r="U8" t="s">
        <v>610</v>
      </c>
      <c r="V8">
        <v>83110</v>
      </c>
      <c r="X8">
        <v>91485</v>
      </c>
      <c r="Y8">
        <v>0</v>
      </c>
      <c r="Z8" s="5">
        <v>46007.260416666664</v>
      </c>
      <c r="AA8" s="5">
        <v>46007.260416666664</v>
      </c>
      <c r="AB8">
        <v>1</v>
      </c>
      <c r="AC8">
        <v>1</v>
      </c>
      <c r="AD8">
        <v>557612</v>
      </c>
      <c r="AE8">
        <v>0</v>
      </c>
      <c r="AF8" s="5">
        <v>46002.440972222219</v>
      </c>
      <c r="AG8" s="5">
        <v>46002.440972222219</v>
      </c>
      <c r="AH8" s="5">
        <v>46007.260416666664</v>
      </c>
      <c r="AI8">
        <v>1</v>
      </c>
      <c r="AM8">
        <v>148839</v>
      </c>
      <c r="AN8">
        <v>5</v>
      </c>
      <c r="AO8">
        <v>14</v>
      </c>
      <c r="AP8">
        <v>19</v>
      </c>
      <c r="AT8" t="e">
        <v>#REF!</v>
      </c>
    </row>
    <row r="9" spans="1:46" x14ac:dyDescent="0.2">
      <c r="A9" t="s">
        <v>622</v>
      </c>
      <c r="B9" t="s">
        <v>604</v>
      </c>
      <c r="C9" t="s">
        <v>605</v>
      </c>
      <c r="D9">
        <v>342115</v>
      </c>
      <c r="E9" t="s">
        <v>606</v>
      </c>
      <c r="F9">
        <v>14796</v>
      </c>
      <c r="G9">
        <v>70690</v>
      </c>
      <c r="J9">
        <v>148836</v>
      </c>
      <c r="K9">
        <v>0</v>
      </c>
      <c r="L9">
        <v>1</v>
      </c>
      <c r="M9">
        <v>1</v>
      </c>
      <c r="N9">
        <v>648986</v>
      </c>
      <c r="O9" t="s">
        <v>607</v>
      </c>
      <c r="P9">
        <v>18098</v>
      </c>
      <c r="Q9" t="s">
        <v>608</v>
      </c>
      <c r="R9">
        <v>1</v>
      </c>
      <c r="S9" t="s">
        <v>609</v>
      </c>
      <c r="T9">
        <v>0</v>
      </c>
      <c r="U9" t="s">
        <v>610</v>
      </c>
      <c r="V9">
        <v>91485</v>
      </c>
      <c r="X9">
        <v>91485</v>
      </c>
      <c r="Y9">
        <v>1</v>
      </c>
      <c r="Z9" s="5">
        <v>46007.259722222225</v>
      </c>
      <c r="AA9" s="5">
        <v>46007.262499999997</v>
      </c>
      <c r="AB9">
        <v>237</v>
      </c>
      <c r="AC9">
        <v>2</v>
      </c>
      <c r="AD9">
        <v>557612</v>
      </c>
      <c r="AE9">
        <v>0</v>
      </c>
      <c r="AF9" s="5">
        <v>46002.440972222219</v>
      </c>
      <c r="AG9" s="5">
        <v>46002.440972222219</v>
      </c>
      <c r="AH9" s="5">
        <v>46007.262499999997</v>
      </c>
      <c r="AI9">
        <v>1</v>
      </c>
      <c r="AM9">
        <v>148838</v>
      </c>
      <c r="AN9">
        <v>10</v>
      </c>
      <c r="AO9">
        <v>14</v>
      </c>
      <c r="AP9">
        <v>20</v>
      </c>
    </row>
    <row r="10" spans="1:46" x14ac:dyDescent="0.2">
      <c r="A10" t="s">
        <v>623</v>
      </c>
      <c r="B10" t="s">
        <v>604</v>
      </c>
      <c r="C10" t="s">
        <v>605</v>
      </c>
      <c r="D10">
        <v>342115</v>
      </c>
      <c r="E10" t="s">
        <v>606</v>
      </c>
      <c r="F10">
        <v>14796</v>
      </c>
      <c r="G10">
        <v>70690</v>
      </c>
      <c r="J10">
        <v>148836</v>
      </c>
      <c r="K10">
        <v>0</v>
      </c>
      <c r="L10">
        <v>1</v>
      </c>
      <c r="M10">
        <v>1</v>
      </c>
      <c r="N10">
        <v>647739</v>
      </c>
      <c r="O10" t="s">
        <v>607</v>
      </c>
      <c r="P10">
        <v>18098</v>
      </c>
      <c r="Q10" t="s">
        <v>608</v>
      </c>
      <c r="R10">
        <v>1</v>
      </c>
      <c r="S10" t="s">
        <v>609</v>
      </c>
      <c r="T10">
        <v>0</v>
      </c>
      <c r="U10" t="s">
        <v>610</v>
      </c>
      <c r="V10">
        <v>91485</v>
      </c>
      <c r="X10">
        <v>91485</v>
      </c>
      <c r="Y10">
        <v>1</v>
      </c>
      <c r="Z10" s="5">
        <v>46007.260416666664</v>
      </c>
      <c r="AA10" s="5">
        <v>46007.260416666664</v>
      </c>
      <c r="AB10">
        <v>11</v>
      </c>
      <c r="AC10">
        <v>1</v>
      </c>
      <c r="AD10">
        <v>557612</v>
      </c>
      <c r="AE10">
        <v>0</v>
      </c>
      <c r="AF10" s="5">
        <v>46002.440972222219</v>
      </c>
      <c r="AG10" s="5">
        <v>46002.440972222219</v>
      </c>
      <c r="AH10" s="5">
        <v>46007.260416666664</v>
      </c>
      <c r="AI10">
        <v>1</v>
      </c>
      <c r="AM10">
        <v>148837</v>
      </c>
      <c r="AN10">
        <v>21</v>
      </c>
      <c r="AO10">
        <v>85</v>
      </c>
      <c r="AP10">
        <v>93</v>
      </c>
    </row>
    <row r="11" spans="1:46" x14ac:dyDescent="0.2">
      <c r="A11" t="s">
        <v>624</v>
      </c>
      <c r="B11" t="s">
        <v>604</v>
      </c>
      <c r="C11" t="s">
        <v>605</v>
      </c>
      <c r="D11">
        <v>342115</v>
      </c>
      <c r="E11" t="s">
        <v>606</v>
      </c>
      <c r="F11">
        <v>14796</v>
      </c>
      <c r="G11">
        <v>70690</v>
      </c>
      <c r="J11">
        <v>148836</v>
      </c>
      <c r="K11">
        <v>0</v>
      </c>
      <c r="L11">
        <v>1</v>
      </c>
      <c r="M11">
        <v>1</v>
      </c>
      <c r="N11">
        <v>647433</v>
      </c>
      <c r="O11" t="s">
        <v>607</v>
      </c>
      <c r="P11">
        <v>18098</v>
      </c>
      <c r="Q11" t="s">
        <v>608</v>
      </c>
      <c r="R11">
        <v>1</v>
      </c>
      <c r="S11" t="s">
        <v>609</v>
      </c>
      <c r="T11">
        <v>0</v>
      </c>
      <c r="U11" t="s">
        <v>610</v>
      </c>
      <c r="V11">
        <v>88112</v>
      </c>
      <c r="X11">
        <v>91485</v>
      </c>
      <c r="Y11">
        <v>0</v>
      </c>
      <c r="Z11" s="5">
        <v>46007.259722222225</v>
      </c>
      <c r="AA11" s="5">
        <v>46007.260416666664</v>
      </c>
      <c r="AB11">
        <v>38</v>
      </c>
      <c r="AC11">
        <v>1</v>
      </c>
      <c r="AD11">
        <v>557612</v>
      </c>
      <c r="AE11">
        <v>0</v>
      </c>
      <c r="AF11" s="5">
        <v>46002.440972222219</v>
      </c>
      <c r="AG11" s="5">
        <v>46002.440972222219</v>
      </c>
      <c r="AH11" s="5">
        <v>46007.260416666664</v>
      </c>
      <c r="AI11">
        <v>1</v>
      </c>
      <c r="AM11">
        <v>148836</v>
      </c>
      <c r="AN11">
        <v>31</v>
      </c>
      <c r="AO11">
        <v>58</v>
      </c>
      <c r="AP11">
        <v>64</v>
      </c>
    </row>
    <row r="12" spans="1:46" x14ac:dyDescent="0.2">
      <c r="A12" t="s">
        <v>625</v>
      </c>
      <c r="B12" t="s">
        <v>604</v>
      </c>
      <c r="C12" t="s">
        <v>605</v>
      </c>
      <c r="D12">
        <v>342115</v>
      </c>
      <c r="E12" t="s">
        <v>606</v>
      </c>
      <c r="F12">
        <v>14796</v>
      </c>
      <c r="G12">
        <v>70690</v>
      </c>
      <c r="J12">
        <v>148836</v>
      </c>
      <c r="K12">
        <v>0</v>
      </c>
      <c r="L12">
        <v>1</v>
      </c>
      <c r="M12">
        <v>1</v>
      </c>
      <c r="N12">
        <v>651452</v>
      </c>
      <c r="O12" t="s">
        <v>607</v>
      </c>
      <c r="P12">
        <v>18098</v>
      </c>
      <c r="Q12" t="s">
        <v>608</v>
      </c>
      <c r="R12">
        <v>1</v>
      </c>
      <c r="S12" t="s">
        <v>609</v>
      </c>
      <c r="T12">
        <v>0</v>
      </c>
      <c r="U12" t="s">
        <v>610</v>
      </c>
      <c r="V12">
        <v>91485</v>
      </c>
      <c r="X12">
        <v>91485</v>
      </c>
      <c r="Y12">
        <v>1</v>
      </c>
      <c r="Z12" s="5">
        <v>46007.259722222225</v>
      </c>
      <c r="AA12" s="5">
        <v>46007.259722222225</v>
      </c>
      <c r="AB12">
        <v>9</v>
      </c>
      <c r="AC12">
        <v>1</v>
      </c>
      <c r="AD12">
        <v>557612</v>
      </c>
      <c r="AE12">
        <v>0</v>
      </c>
      <c r="AF12" s="5">
        <v>46002.440972222219</v>
      </c>
      <c r="AG12" s="5">
        <v>46002.440972222219</v>
      </c>
      <c r="AH12" s="5">
        <v>46007.259722222225</v>
      </c>
      <c r="AI12">
        <v>1</v>
      </c>
      <c r="AM12" t="s">
        <v>626</v>
      </c>
      <c r="AN12">
        <v>77</v>
      </c>
      <c r="AO12">
        <v>194</v>
      </c>
      <c r="AP12">
        <v>231</v>
      </c>
      <c r="AQ12">
        <v>0.33333333300000001</v>
      </c>
    </row>
    <row r="13" spans="1:46" x14ac:dyDescent="0.2">
      <c r="A13" t="s">
        <v>627</v>
      </c>
      <c r="B13" t="s">
        <v>604</v>
      </c>
      <c r="C13" t="s">
        <v>605</v>
      </c>
      <c r="D13">
        <v>342115</v>
      </c>
      <c r="E13" t="s">
        <v>606</v>
      </c>
      <c r="F13">
        <v>14796</v>
      </c>
      <c r="G13">
        <v>70690</v>
      </c>
      <c r="J13">
        <v>148836</v>
      </c>
      <c r="K13">
        <v>0</v>
      </c>
      <c r="L13">
        <v>1</v>
      </c>
      <c r="M13">
        <v>1</v>
      </c>
      <c r="N13">
        <v>647499</v>
      </c>
      <c r="O13" t="s">
        <v>607</v>
      </c>
      <c r="P13">
        <v>18098</v>
      </c>
      <c r="Q13" t="s">
        <v>608</v>
      </c>
      <c r="R13">
        <v>1</v>
      </c>
      <c r="S13" t="s">
        <v>609</v>
      </c>
      <c r="T13">
        <v>0</v>
      </c>
      <c r="U13" t="s">
        <v>610</v>
      </c>
      <c r="V13">
        <v>91485</v>
      </c>
      <c r="X13">
        <v>91485</v>
      </c>
      <c r="Y13">
        <v>1</v>
      </c>
      <c r="Z13" s="5">
        <v>46007.260416666664</v>
      </c>
      <c r="AA13" s="5">
        <v>46007.260416666664</v>
      </c>
      <c r="AB13">
        <v>9</v>
      </c>
      <c r="AC13">
        <v>1</v>
      </c>
      <c r="AD13">
        <v>557612</v>
      </c>
      <c r="AE13">
        <v>0</v>
      </c>
      <c r="AF13" s="5">
        <v>46002.440972222219</v>
      </c>
      <c r="AG13" s="5">
        <v>46002.440972222219</v>
      </c>
      <c r="AH13" s="5">
        <v>46007.260416666664</v>
      </c>
      <c r="AI13">
        <v>1</v>
      </c>
    </row>
    <row r="14" spans="1:46" x14ac:dyDescent="0.2">
      <c r="A14" t="s">
        <v>628</v>
      </c>
      <c r="B14" t="s">
        <v>604</v>
      </c>
      <c r="C14" t="s">
        <v>605</v>
      </c>
      <c r="D14">
        <v>342115</v>
      </c>
      <c r="E14" t="s">
        <v>606</v>
      </c>
      <c r="F14">
        <v>14796</v>
      </c>
      <c r="G14">
        <v>70690</v>
      </c>
      <c r="J14">
        <v>148836</v>
      </c>
      <c r="K14">
        <v>0</v>
      </c>
      <c r="L14">
        <v>0</v>
      </c>
      <c r="M14">
        <v>0</v>
      </c>
      <c r="N14">
        <v>652933</v>
      </c>
      <c r="O14" t="s">
        <v>607</v>
      </c>
      <c r="P14">
        <v>18098</v>
      </c>
      <c r="Q14" t="s">
        <v>608</v>
      </c>
      <c r="R14">
        <v>1</v>
      </c>
      <c r="S14" t="s">
        <v>609</v>
      </c>
      <c r="T14">
        <v>0</v>
      </c>
      <c r="U14" t="s">
        <v>610</v>
      </c>
      <c r="V14">
        <v>-1</v>
      </c>
      <c r="X14">
        <v>91485</v>
      </c>
      <c r="Z14" s="5">
        <v>46007.259722222225</v>
      </c>
      <c r="AA14" s="5">
        <v>46007.259722222225</v>
      </c>
      <c r="AC14">
        <v>0</v>
      </c>
      <c r="AD14">
        <v>557612</v>
      </c>
      <c r="AE14">
        <v>0</v>
      </c>
      <c r="AF14" s="5">
        <v>46002.440972222219</v>
      </c>
      <c r="AG14" s="5">
        <v>46002.440972222219</v>
      </c>
      <c r="AI14">
        <v>1</v>
      </c>
    </row>
    <row r="15" spans="1:46" x14ac:dyDescent="0.2">
      <c r="A15" t="s">
        <v>629</v>
      </c>
      <c r="B15" t="s">
        <v>604</v>
      </c>
      <c r="C15" t="s">
        <v>605</v>
      </c>
      <c r="D15">
        <v>342115</v>
      </c>
      <c r="E15" t="s">
        <v>606</v>
      </c>
      <c r="F15">
        <v>14796</v>
      </c>
      <c r="G15">
        <v>70690</v>
      </c>
      <c r="J15">
        <v>148836</v>
      </c>
      <c r="K15">
        <v>0</v>
      </c>
      <c r="L15">
        <v>0</v>
      </c>
      <c r="M15">
        <v>0</v>
      </c>
      <c r="N15">
        <v>652938</v>
      </c>
      <c r="O15" t="s">
        <v>607</v>
      </c>
      <c r="P15">
        <v>18098</v>
      </c>
      <c r="Q15" t="s">
        <v>608</v>
      </c>
      <c r="R15">
        <v>1</v>
      </c>
      <c r="S15" t="s">
        <v>609</v>
      </c>
      <c r="T15">
        <v>0</v>
      </c>
      <c r="U15" t="s">
        <v>610</v>
      </c>
      <c r="V15">
        <v>-1</v>
      </c>
      <c r="X15">
        <v>91485</v>
      </c>
      <c r="Z15" s="5">
        <v>46007.259722222225</v>
      </c>
      <c r="AA15" s="5">
        <v>46007.259722222225</v>
      </c>
      <c r="AC15">
        <v>0</v>
      </c>
      <c r="AD15">
        <v>557612</v>
      </c>
      <c r="AE15">
        <v>0</v>
      </c>
      <c r="AF15" s="5">
        <v>46002.440972222219</v>
      </c>
      <c r="AG15" s="5">
        <v>46002.440972222219</v>
      </c>
      <c r="AI15">
        <v>1</v>
      </c>
    </row>
    <row r="16" spans="1:46" x14ac:dyDescent="0.2">
      <c r="A16" t="s">
        <v>630</v>
      </c>
      <c r="B16" t="s">
        <v>604</v>
      </c>
      <c r="C16" t="s">
        <v>605</v>
      </c>
      <c r="D16">
        <v>342115</v>
      </c>
      <c r="E16" t="s">
        <v>606</v>
      </c>
      <c r="F16">
        <v>14796</v>
      </c>
      <c r="G16">
        <v>70690</v>
      </c>
      <c r="J16">
        <v>148836</v>
      </c>
      <c r="K16">
        <v>0</v>
      </c>
      <c r="L16">
        <v>1</v>
      </c>
      <c r="M16">
        <v>1</v>
      </c>
      <c r="N16">
        <v>647496</v>
      </c>
      <c r="O16" t="s">
        <v>607</v>
      </c>
      <c r="P16">
        <v>18098</v>
      </c>
      <c r="Q16" t="s">
        <v>608</v>
      </c>
      <c r="R16">
        <v>1</v>
      </c>
      <c r="S16" t="s">
        <v>609</v>
      </c>
      <c r="T16">
        <v>0</v>
      </c>
      <c r="U16" t="s">
        <v>610</v>
      </c>
      <c r="V16">
        <v>91485</v>
      </c>
      <c r="X16">
        <v>91485</v>
      </c>
      <c r="Y16">
        <v>1</v>
      </c>
      <c r="Z16" s="5">
        <v>46007.259722222225</v>
      </c>
      <c r="AA16" s="5">
        <v>46007.260416666664</v>
      </c>
      <c r="AB16">
        <v>34</v>
      </c>
      <c r="AC16">
        <v>1</v>
      </c>
      <c r="AD16">
        <v>557612</v>
      </c>
      <c r="AE16">
        <v>0</v>
      </c>
      <c r="AF16" s="5">
        <v>46002.440972222219</v>
      </c>
      <c r="AG16" s="5">
        <v>46002.440972222219</v>
      </c>
      <c r="AH16" s="5">
        <v>46007.260416666664</v>
      </c>
      <c r="AI16">
        <v>1</v>
      </c>
    </row>
    <row r="17" spans="1:35" x14ac:dyDescent="0.2">
      <c r="A17" t="s">
        <v>631</v>
      </c>
      <c r="B17" t="s">
        <v>604</v>
      </c>
      <c r="C17" t="s">
        <v>605</v>
      </c>
      <c r="D17">
        <v>342115</v>
      </c>
      <c r="E17" t="s">
        <v>606</v>
      </c>
      <c r="F17">
        <v>14796</v>
      </c>
      <c r="G17">
        <v>70690</v>
      </c>
      <c r="J17">
        <v>148836</v>
      </c>
      <c r="K17">
        <v>0</v>
      </c>
      <c r="L17">
        <v>1</v>
      </c>
      <c r="M17">
        <v>1</v>
      </c>
      <c r="N17">
        <v>648951</v>
      </c>
      <c r="O17" t="s">
        <v>607</v>
      </c>
      <c r="P17">
        <v>18098</v>
      </c>
      <c r="Q17" t="s">
        <v>608</v>
      </c>
      <c r="R17">
        <v>1</v>
      </c>
      <c r="S17" t="s">
        <v>609</v>
      </c>
      <c r="T17">
        <v>0</v>
      </c>
      <c r="U17" t="s">
        <v>610</v>
      </c>
      <c r="V17">
        <v>88112</v>
      </c>
      <c r="X17">
        <v>91485</v>
      </c>
      <c r="Y17">
        <v>0</v>
      </c>
      <c r="Z17" s="5">
        <v>46007.259722222225</v>
      </c>
      <c r="AA17" s="5">
        <v>46007.260416666664</v>
      </c>
      <c r="AB17">
        <v>39</v>
      </c>
      <c r="AC17">
        <v>1</v>
      </c>
      <c r="AD17">
        <v>557612</v>
      </c>
      <c r="AE17">
        <v>0</v>
      </c>
      <c r="AF17" s="5">
        <v>46002.440972222219</v>
      </c>
      <c r="AG17" s="5">
        <v>46002.440972222219</v>
      </c>
      <c r="AH17" s="5">
        <v>46007.260416666664</v>
      </c>
      <c r="AI17">
        <v>1</v>
      </c>
    </row>
    <row r="18" spans="1:35" x14ac:dyDescent="0.2">
      <c r="A18" t="s">
        <v>632</v>
      </c>
      <c r="B18" t="s">
        <v>604</v>
      </c>
      <c r="C18" t="s">
        <v>605</v>
      </c>
      <c r="D18">
        <v>342115</v>
      </c>
      <c r="E18" t="s">
        <v>606</v>
      </c>
      <c r="F18">
        <v>14796</v>
      </c>
      <c r="G18">
        <v>70690</v>
      </c>
      <c r="J18">
        <v>148836</v>
      </c>
      <c r="K18">
        <v>0</v>
      </c>
      <c r="L18">
        <v>1</v>
      </c>
      <c r="M18">
        <v>1</v>
      </c>
      <c r="N18">
        <v>652934</v>
      </c>
      <c r="O18" t="s">
        <v>607</v>
      </c>
      <c r="P18">
        <v>18098</v>
      </c>
      <c r="Q18" t="s">
        <v>608</v>
      </c>
      <c r="R18">
        <v>1</v>
      </c>
      <c r="S18" t="s">
        <v>609</v>
      </c>
      <c r="T18">
        <v>0</v>
      </c>
      <c r="U18" t="s">
        <v>610</v>
      </c>
      <c r="V18">
        <v>91485</v>
      </c>
      <c r="X18">
        <v>91485</v>
      </c>
      <c r="Y18">
        <v>1</v>
      </c>
      <c r="Z18" s="5">
        <v>46007.259722222225</v>
      </c>
      <c r="AA18" s="5">
        <v>46007.259722222225</v>
      </c>
      <c r="AB18">
        <v>1</v>
      </c>
      <c r="AC18">
        <v>1</v>
      </c>
      <c r="AD18">
        <v>557612</v>
      </c>
      <c r="AE18">
        <v>0</v>
      </c>
      <c r="AF18" s="5">
        <v>46002.440972222219</v>
      </c>
      <c r="AG18" s="5">
        <v>46002.440972222219</v>
      </c>
      <c r="AH18" s="5">
        <v>46007.259722222225</v>
      </c>
      <c r="AI18">
        <v>1</v>
      </c>
    </row>
    <row r="19" spans="1:35" x14ac:dyDescent="0.2">
      <c r="A19" t="s">
        <v>633</v>
      </c>
      <c r="B19" t="s">
        <v>604</v>
      </c>
      <c r="C19" t="s">
        <v>634</v>
      </c>
      <c r="D19">
        <v>342120</v>
      </c>
      <c r="E19" t="s">
        <v>606</v>
      </c>
      <c r="F19">
        <v>14796</v>
      </c>
      <c r="G19">
        <v>70690</v>
      </c>
      <c r="J19">
        <v>148837</v>
      </c>
      <c r="K19">
        <v>0</v>
      </c>
      <c r="L19">
        <v>1</v>
      </c>
      <c r="M19">
        <v>1</v>
      </c>
      <c r="N19">
        <v>647748</v>
      </c>
      <c r="O19" t="s">
        <v>607</v>
      </c>
      <c r="P19">
        <v>367083</v>
      </c>
      <c r="Q19" t="s">
        <v>635</v>
      </c>
      <c r="R19">
        <v>1</v>
      </c>
      <c r="S19" t="s">
        <v>609</v>
      </c>
      <c r="T19">
        <v>1</v>
      </c>
      <c r="U19" t="s">
        <v>610</v>
      </c>
      <c r="V19">
        <v>1428917</v>
      </c>
      <c r="X19">
        <v>1428917</v>
      </c>
      <c r="Y19">
        <v>1</v>
      </c>
      <c r="Z19" s="5">
        <v>46007.25277777778</v>
      </c>
      <c r="AA19" s="5">
        <v>46007.253472222219</v>
      </c>
      <c r="AB19">
        <v>39</v>
      </c>
      <c r="AC19">
        <v>1</v>
      </c>
      <c r="AD19">
        <v>557612</v>
      </c>
      <c r="AE19">
        <v>0</v>
      </c>
      <c r="AF19" s="5">
        <v>46002.440972222219</v>
      </c>
      <c r="AG19" s="5">
        <v>46002.440972222219</v>
      </c>
      <c r="AH19" s="5">
        <v>46007.253472222219</v>
      </c>
      <c r="AI19">
        <v>1</v>
      </c>
    </row>
    <row r="20" spans="1:35" x14ac:dyDescent="0.2">
      <c r="A20" t="s">
        <v>636</v>
      </c>
      <c r="B20" t="s">
        <v>604</v>
      </c>
      <c r="C20" t="s">
        <v>634</v>
      </c>
      <c r="D20">
        <v>342120</v>
      </c>
      <c r="E20" t="s">
        <v>606</v>
      </c>
      <c r="F20">
        <v>14796</v>
      </c>
      <c r="G20">
        <v>70690</v>
      </c>
      <c r="J20">
        <v>148837</v>
      </c>
      <c r="K20">
        <v>0</v>
      </c>
      <c r="L20">
        <v>1</v>
      </c>
      <c r="M20">
        <v>1</v>
      </c>
      <c r="N20">
        <v>648951</v>
      </c>
      <c r="O20" t="s">
        <v>607</v>
      </c>
      <c r="P20">
        <v>367083</v>
      </c>
      <c r="Q20" t="s">
        <v>635</v>
      </c>
      <c r="R20">
        <v>1</v>
      </c>
      <c r="S20" t="s">
        <v>609</v>
      </c>
      <c r="T20">
        <v>1</v>
      </c>
      <c r="U20" t="s">
        <v>610</v>
      </c>
      <c r="V20">
        <v>1428917</v>
      </c>
      <c r="X20">
        <v>1428917</v>
      </c>
      <c r="Y20">
        <v>1</v>
      </c>
      <c r="Z20" s="5">
        <v>46007.254861111112</v>
      </c>
      <c r="AA20" s="5">
        <v>46007.254861111112</v>
      </c>
      <c r="AB20">
        <v>13</v>
      </c>
      <c r="AC20">
        <v>1</v>
      </c>
      <c r="AD20">
        <v>557612</v>
      </c>
      <c r="AE20">
        <v>0</v>
      </c>
      <c r="AF20" s="5">
        <v>46002.440972222219</v>
      </c>
      <c r="AG20" s="5">
        <v>46002.440972222219</v>
      </c>
      <c r="AH20" s="5">
        <v>46007.254861111112</v>
      </c>
      <c r="AI20">
        <v>1</v>
      </c>
    </row>
    <row r="21" spans="1:35" x14ac:dyDescent="0.2">
      <c r="A21" t="s">
        <v>637</v>
      </c>
      <c r="B21" t="s">
        <v>604</v>
      </c>
      <c r="C21" t="s">
        <v>634</v>
      </c>
      <c r="D21">
        <v>342120</v>
      </c>
      <c r="E21" t="s">
        <v>606</v>
      </c>
      <c r="F21">
        <v>14796</v>
      </c>
      <c r="G21">
        <v>70690</v>
      </c>
      <c r="J21">
        <v>148837</v>
      </c>
      <c r="K21">
        <v>0</v>
      </c>
      <c r="L21">
        <v>1</v>
      </c>
      <c r="M21">
        <v>1</v>
      </c>
      <c r="N21">
        <v>647499</v>
      </c>
      <c r="O21" t="s">
        <v>607</v>
      </c>
      <c r="P21">
        <v>367083</v>
      </c>
      <c r="Q21" t="s">
        <v>635</v>
      </c>
      <c r="R21">
        <v>1</v>
      </c>
      <c r="S21" t="s">
        <v>609</v>
      </c>
      <c r="T21">
        <v>1</v>
      </c>
      <c r="U21" t="s">
        <v>610</v>
      </c>
      <c r="V21">
        <v>1428916</v>
      </c>
      <c r="X21">
        <v>1428917</v>
      </c>
      <c r="Y21">
        <v>0</v>
      </c>
      <c r="Z21" s="5">
        <v>46007.25277777778</v>
      </c>
      <c r="AA21" s="5">
        <v>46007.25277777778</v>
      </c>
      <c r="AB21">
        <v>22</v>
      </c>
      <c r="AC21">
        <v>1</v>
      </c>
      <c r="AD21">
        <v>557612</v>
      </c>
      <c r="AE21">
        <v>0</v>
      </c>
      <c r="AF21" s="5">
        <v>46002.440972222219</v>
      </c>
      <c r="AG21" s="5">
        <v>46002.440972222219</v>
      </c>
      <c r="AH21" s="5">
        <v>46007.25277777778</v>
      </c>
      <c r="AI21">
        <v>1</v>
      </c>
    </row>
    <row r="22" spans="1:35" x14ac:dyDescent="0.2">
      <c r="A22" t="s">
        <v>638</v>
      </c>
      <c r="B22" t="s">
        <v>604</v>
      </c>
      <c r="C22" t="s">
        <v>634</v>
      </c>
      <c r="D22">
        <v>342120</v>
      </c>
      <c r="E22" t="s">
        <v>606</v>
      </c>
      <c r="F22">
        <v>14796</v>
      </c>
      <c r="G22">
        <v>70690</v>
      </c>
      <c r="J22">
        <v>148837</v>
      </c>
      <c r="K22">
        <v>0</v>
      </c>
      <c r="L22">
        <v>1</v>
      </c>
      <c r="M22">
        <v>1</v>
      </c>
      <c r="N22">
        <v>647426</v>
      </c>
      <c r="O22" t="s">
        <v>607</v>
      </c>
      <c r="P22">
        <v>367083</v>
      </c>
      <c r="Q22" t="s">
        <v>635</v>
      </c>
      <c r="R22">
        <v>1</v>
      </c>
      <c r="S22" t="s">
        <v>609</v>
      </c>
      <c r="T22">
        <v>1</v>
      </c>
      <c r="U22" t="s">
        <v>610</v>
      </c>
      <c r="V22">
        <v>1428917</v>
      </c>
      <c r="X22">
        <v>1428917</v>
      </c>
      <c r="Y22">
        <v>1</v>
      </c>
      <c r="Z22" s="5">
        <v>46007.253472222219</v>
      </c>
      <c r="AA22" s="5">
        <v>46007.254166666666</v>
      </c>
      <c r="AB22">
        <v>98</v>
      </c>
      <c r="AC22">
        <v>6</v>
      </c>
      <c r="AD22">
        <v>557612</v>
      </c>
      <c r="AE22">
        <v>0</v>
      </c>
      <c r="AF22" s="5">
        <v>46002.440972222219</v>
      </c>
      <c r="AG22" s="5">
        <v>46002.440972222219</v>
      </c>
      <c r="AH22" s="5">
        <v>46007.254166666666</v>
      </c>
      <c r="AI22">
        <v>1</v>
      </c>
    </row>
    <row r="23" spans="1:35" x14ac:dyDescent="0.2">
      <c r="A23" t="s">
        <v>639</v>
      </c>
      <c r="B23" t="s">
        <v>604</v>
      </c>
      <c r="C23" t="s">
        <v>634</v>
      </c>
      <c r="D23">
        <v>342120</v>
      </c>
      <c r="E23" t="s">
        <v>606</v>
      </c>
      <c r="F23">
        <v>14796</v>
      </c>
      <c r="G23">
        <v>70690</v>
      </c>
      <c r="J23">
        <v>148837</v>
      </c>
      <c r="K23">
        <v>0</v>
      </c>
      <c r="L23">
        <v>1</v>
      </c>
      <c r="M23">
        <v>1</v>
      </c>
      <c r="N23">
        <v>647404</v>
      </c>
      <c r="O23" t="s">
        <v>607</v>
      </c>
      <c r="P23">
        <v>367083</v>
      </c>
      <c r="Q23" t="s">
        <v>635</v>
      </c>
      <c r="R23">
        <v>1</v>
      </c>
      <c r="S23" t="s">
        <v>609</v>
      </c>
      <c r="T23">
        <v>1</v>
      </c>
      <c r="U23" t="s">
        <v>610</v>
      </c>
      <c r="V23">
        <v>1428917</v>
      </c>
      <c r="X23">
        <v>1428917</v>
      </c>
      <c r="Y23">
        <v>1</v>
      </c>
      <c r="Z23" s="5">
        <v>46007.25277777778</v>
      </c>
      <c r="AA23" s="5">
        <v>46007.253472222219</v>
      </c>
      <c r="AB23">
        <v>48</v>
      </c>
      <c r="AC23">
        <v>2</v>
      </c>
      <c r="AD23">
        <v>557612</v>
      </c>
      <c r="AE23">
        <v>0</v>
      </c>
      <c r="AF23" s="5">
        <v>46002.440972222219</v>
      </c>
      <c r="AG23" s="5">
        <v>46002.440972222219</v>
      </c>
      <c r="AH23" s="5">
        <v>46007.253472222219</v>
      </c>
      <c r="AI23">
        <v>1</v>
      </c>
    </row>
    <row r="24" spans="1:35" x14ac:dyDescent="0.2">
      <c r="A24" t="s">
        <v>640</v>
      </c>
      <c r="B24" t="s">
        <v>604</v>
      </c>
      <c r="C24" t="s">
        <v>634</v>
      </c>
      <c r="D24">
        <v>342120</v>
      </c>
      <c r="E24" t="s">
        <v>606</v>
      </c>
      <c r="F24">
        <v>14796</v>
      </c>
      <c r="G24">
        <v>70690</v>
      </c>
      <c r="J24">
        <v>148837</v>
      </c>
      <c r="K24">
        <v>0</v>
      </c>
      <c r="L24">
        <v>1</v>
      </c>
      <c r="M24">
        <v>1</v>
      </c>
      <c r="N24">
        <v>647306</v>
      </c>
      <c r="O24" t="s">
        <v>607</v>
      </c>
      <c r="P24">
        <v>367083</v>
      </c>
      <c r="Q24" t="s">
        <v>635</v>
      </c>
      <c r="R24">
        <v>1</v>
      </c>
      <c r="S24" t="s">
        <v>609</v>
      </c>
      <c r="T24">
        <v>1</v>
      </c>
      <c r="U24" t="s">
        <v>610</v>
      </c>
      <c r="V24">
        <v>1428916</v>
      </c>
      <c r="X24">
        <v>1428917</v>
      </c>
      <c r="Y24">
        <v>0</v>
      </c>
      <c r="Z24" s="5">
        <v>46007.253472222219</v>
      </c>
      <c r="AA24" s="5">
        <v>46007.254166666666</v>
      </c>
      <c r="AB24">
        <v>49</v>
      </c>
      <c r="AC24">
        <v>1</v>
      </c>
      <c r="AD24">
        <v>557612</v>
      </c>
      <c r="AE24">
        <v>0</v>
      </c>
      <c r="AF24" s="5">
        <v>46002.440972222219</v>
      </c>
      <c r="AG24" s="5">
        <v>46002.440972222219</v>
      </c>
      <c r="AH24" s="5">
        <v>46007.254166666666</v>
      </c>
      <c r="AI24">
        <v>1</v>
      </c>
    </row>
    <row r="25" spans="1:35" x14ac:dyDescent="0.2">
      <c r="A25" t="s">
        <v>641</v>
      </c>
      <c r="B25" t="s">
        <v>604</v>
      </c>
      <c r="C25" t="s">
        <v>634</v>
      </c>
      <c r="D25">
        <v>342120</v>
      </c>
      <c r="E25" t="s">
        <v>606</v>
      </c>
      <c r="F25">
        <v>14796</v>
      </c>
      <c r="G25">
        <v>70690</v>
      </c>
      <c r="J25">
        <v>148837</v>
      </c>
      <c r="K25">
        <v>0</v>
      </c>
      <c r="L25">
        <v>1</v>
      </c>
      <c r="M25">
        <v>1</v>
      </c>
      <c r="N25">
        <v>652933</v>
      </c>
      <c r="O25" t="s">
        <v>607</v>
      </c>
      <c r="P25">
        <v>367083</v>
      </c>
      <c r="Q25" t="s">
        <v>635</v>
      </c>
      <c r="R25">
        <v>1</v>
      </c>
      <c r="S25" t="s">
        <v>609</v>
      </c>
      <c r="T25">
        <v>1</v>
      </c>
      <c r="U25" t="s">
        <v>610</v>
      </c>
      <c r="V25">
        <v>1428915</v>
      </c>
      <c r="X25">
        <v>1428917</v>
      </c>
      <c r="Y25">
        <v>0</v>
      </c>
      <c r="Z25" s="5">
        <v>46007.255555555559</v>
      </c>
      <c r="AA25" s="5">
        <v>46007.255555555559</v>
      </c>
      <c r="AB25">
        <v>4</v>
      </c>
      <c r="AC25">
        <v>1</v>
      </c>
      <c r="AD25">
        <v>557612</v>
      </c>
      <c r="AE25">
        <v>0</v>
      </c>
      <c r="AF25" s="5">
        <v>46002.440972222219</v>
      </c>
      <c r="AG25" s="5">
        <v>46002.440972222219</v>
      </c>
      <c r="AH25" s="5">
        <v>46007.255555555559</v>
      </c>
      <c r="AI25">
        <v>1</v>
      </c>
    </row>
    <row r="26" spans="1:35" x14ac:dyDescent="0.2">
      <c r="A26" t="s">
        <v>642</v>
      </c>
      <c r="B26" t="s">
        <v>604</v>
      </c>
      <c r="C26" t="s">
        <v>634</v>
      </c>
      <c r="D26">
        <v>342120</v>
      </c>
      <c r="E26" t="s">
        <v>606</v>
      </c>
      <c r="F26">
        <v>14796</v>
      </c>
      <c r="G26">
        <v>70690</v>
      </c>
      <c r="J26">
        <v>148837</v>
      </c>
      <c r="K26">
        <v>0</v>
      </c>
      <c r="L26">
        <v>1</v>
      </c>
      <c r="M26">
        <v>1</v>
      </c>
      <c r="N26">
        <v>652934</v>
      </c>
      <c r="O26" t="s">
        <v>607</v>
      </c>
      <c r="P26">
        <v>367083</v>
      </c>
      <c r="Q26" t="s">
        <v>635</v>
      </c>
      <c r="R26">
        <v>1</v>
      </c>
      <c r="S26" t="s">
        <v>609</v>
      </c>
      <c r="T26">
        <v>1</v>
      </c>
      <c r="U26" t="s">
        <v>610</v>
      </c>
      <c r="V26">
        <v>1428916</v>
      </c>
      <c r="X26">
        <v>1428917</v>
      </c>
      <c r="Y26">
        <v>0</v>
      </c>
      <c r="Z26" s="5">
        <v>46007.25277777778</v>
      </c>
      <c r="AA26" s="5">
        <v>46007.25277777778</v>
      </c>
      <c r="AB26">
        <v>11</v>
      </c>
      <c r="AC26">
        <v>1</v>
      </c>
      <c r="AD26">
        <v>557612</v>
      </c>
      <c r="AE26">
        <v>0</v>
      </c>
      <c r="AF26" s="5">
        <v>46002.440972222219</v>
      </c>
      <c r="AG26" s="5">
        <v>46002.440972222219</v>
      </c>
      <c r="AH26" s="5">
        <v>46007.25277777778</v>
      </c>
      <c r="AI26">
        <v>1</v>
      </c>
    </row>
    <row r="27" spans="1:35" x14ac:dyDescent="0.2">
      <c r="A27" t="s">
        <v>643</v>
      </c>
      <c r="B27" t="s">
        <v>604</v>
      </c>
      <c r="C27" t="s">
        <v>634</v>
      </c>
      <c r="D27">
        <v>342120</v>
      </c>
      <c r="E27" t="s">
        <v>606</v>
      </c>
      <c r="F27">
        <v>14796</v>
      </c>
      <c r="G27">
        <v>70690</v>
      </c>
      <c r="J27">
        <v>148837</v>
      </c>
      <c r="K27">
        <v>0</v>
      </c>
      <c r="L27">
        <v>1</v>
      </c>
      <c r="M27">
        <v>1</v>
      </c>
      <c r="N27">
        <v>652958</v>
      </c>
      <c r="O27" t="s">
        <v>607</v>
      </c>
      <c r="P27">
        <v>367083</v>
      </c>
      <c r="Q27" t="s">
        <v>635</v>
      </c>
      <c r="R27">
        <v>1</v>
      </c>
      <c r="S27" t="s">
        <v>609</v>
      </c>
      <c r="T27">
        <v>1</v>
      </c>
      <c r="U27" t="s">
        <v>610</v>
      </c>
      <c r="V27">
        <v>1428915</v>
      </c>
      <c r="X27">
        <v>1428917</v>
      </c>
      <c r="Y27">
        <v>0</v>
      </c>
      <c r="Z27" s="5">
        <v>46007.25277777778</v>
      </c>
      <c r="AA27" s="5">
        <v>46007.253472222219</v>
      </c>
      <c r="AB27">
        <v>12</v>
      </c>
      <c r="AC27">
        <v>1</v>
      </c>
      <c r="AD27">
        <v>557612</v>
      </c>
      <c r="AE27">
        <v>0</v>
      </c>
      <c r="AF27" s="5">
        <v>46002.440972222219</v>
      </c>
      <c r="AG27" s="5">
        <v>46002.440972222219</v>
      </c>
      <c r="AH27" s="5">
        <v>46007.253472222219</v>
      </c>
      <c r="AI27">
        <v>1</v>
      </c>
    </row>
    <row r="28" spans="1:35" x14ac:dyDescent="0.2">
      <c r="A28" t="s">
        <v>644</v>
      </c>
      <c r="B28" t="s">
        <v>604</v>
      </c>
      <c r="C28" t="s">
        <v>634</v>
      </c>
      <c r="D28">
        <v>342120</v>
      </c>
      <c r="E28" t="s">
        <v>606</v>
      </c>
      <c r="F28">
        <v>14796</v>
      </c>
      <c r="G28">
        <v>70690</v>
      </c>
      <c r="J28">
        <v>148837</v>
      </c>
      <c r="K28">
        <v>0</v>
      </c>
      <c r="L28">
        <v>1</v>
      </c>
      <c r="M28">
        <v>1</v>
      </c>
      <c r="N28">
        <v>651452</v>
      </c>
      <c r="O28" t="s">
        <v>607</v>
      </c>
      <c r="P28">
        <v>367083</v>
      </c>
      <c r="Q28" t="s">
        <v>635</v>
      </c>
      <c r="R28">
        <v>1</v>
      </c>
      <c r="S28" t="s">
        <v>609</v>
      </c>
      <c r="T28">
        <v>1</v>
      </c>
      <c r="U28" t="s">
        <v>610</v>
      </c>
      <c r="V28">
        <v>1428915</v>
      </c>
      <c r="X28">
        <v>1428917</v>
      </c>
      <c r="Y28">
        <v>0</v>
      </c>
      <c r="Z28" s="5">
        <v>46007.25277777778</v>
      </c>
      <c r="AA28" s="5">
        <v>46007.253472222219</v>
      </c>
      <c r="AB28">
        <v>13</v>
      </c>
      <c r="AC28">
        <v>1</v>
      </c>
      <c r="AD28">
        <v>557612</v>
      </c>
      <c r="AE28">
        <v>0</v>
      </c>
      <c r="AF28" s="5">
        <v>46002.440972222219</v>
      </c>
      <c r="AG28" s="5">
        <v>46002.440972222219</v>
      </c>
      <c r="AH28" s="5">
        <v>46007.253472222219</v>
      </c>
      <c r="AI28">
        <v>1</v>
      </c>
    </row>
    <row r="29" spans="1:35" x14ac:dyDescent="0.2">
      <c r="A29" t="s">
        <v>645</v>
      </c>
      <c r="B29" t="s">
        <v>604</v>
      </c>
      <c r="C29" t="s">
        <v>634</v>
      </c>
      <c r="D29">
        <v>342120</v>
      </c>
      <c r="E29" t="s">
        <v>606</v>
      </c>
      <c r="F29">
        <v>14796</v>
      </c>
      <c r="G29">
        <v>70690</v>
      </c>
      <c r="J29">
        <v>148837</v>
      </c>
      <c r="K29">
        <v>0</v>
      </c>
      <c r="L29">
        <v>1</v>
      </c>
      <c r="M29">
        <v>1</v>
      </c>
      <c r="N29">
        <v>648959</v>
      </c>
      <c r="O29" t="s">
        <v>607</v>
      </c>
      <c r="P29">
        <v>367083</v>
      </c>
      <c r="Q29" t="s">
        <v>635</v>
      </c>
      <c r="R29">
        <v>1</v>
      </c>
      <c r="S29" t="s">
        <v>609</v>
      </c>
      <c r="T29">
        <v>1</v>
      </c>
      <c r="U29" t="s">
        <v>610</v>
      </c>
      <c r="V29">
        <v>1428915</v>
      </c>
      <c r="X29">
        <v>1428917</v>
      </c>
      <c r="Y29">
        <v>0</v>
      </c>
      <c r="Z29" s="5">
        <v>46007.25277777778</v>
      </c>
      <c r="AA29" s="5">
        <v>46007.25277777778</v>
      </c>
      <c r="AB29">
        <v>6</v>
      </c>
      <c r="AC29">
        <v>1</v>
      </c>
      <c r="AD29">
        <v>557612</v>
      </c>
      <c r="AE29">
        <v>0</v>
      </c>
      <c r="AF29" s="5">
        <v>46002.440972222219</v>
      </c>
      <c r="AG29" s="5">
        <v>46002.440972222219</v>
      </c>
      <c r="AH29" s="5">
        <v>46007.25277777778</v>
      </c>
      <c r="AI29">
        <v>1</v>
      </c>
    </row>
    <row r="30" spans="1:35" x14ac:dyDescent="0.2">
      <c r="A30" t="s">
        <v>646</v>
      </c>
      <c r="B30" t="s">
        <v>604</v>
      </c>
      <c r="C30" t="s">
        <v>634</v>
      </c>
      <c r="D30">
        <v>342120</v>
      </c>
      <c r="E30" t="s">
        <v>606</v>
      </c>
      <c r="F30">
        <v>14796</v>
      </c>
      <c r="G30">
        <v>70690</v>
      </c>
      <c r="J30">
        <v>148837</v>
      </c>
      <c r="K30">
        <v>0</v>
      </c>
      <c r="L30">
        <v>1</v>
      </c>
      <c r="M30">
        <v>1</v>
      </c>
      <c r="N30">
        <v>648953</v>
      </c>
      <c r="O30" t="s">
        <v>607</v>
      </c>
      <c r="P30">
        <v>367083</v>
      </c>
      <c r="Q30" t="s">
        <v>635</v>
      </c>
      <c r="R30">
        <v>1</v>
      </c>
      <c r="S30" t="s">
        <v>609</v>
      </c>
      <c r="T30">
        <v>1</v>
      </c>
      <c r="U30" t="s">
        <v>610</v>
      </c>
      <c r="V30">
        <v>1428915</v>
      </c>
      <c r="X30">
        <v>1428917</v>
      </c>
      <c r="Y30">
        <v>0</v>
      </c>
      <c r="Z30" s="5">
        <v>46007.254166666666</v>
      </c>
      <c r="AA30" s="5">
        <v>46007.254166666666</v>
      </c>
      <c r="AB30">
        <v>2</v>
      </c>
      <c r="AC30">
        <v>1</v>
      </c>
      <c r="AD30">
        <v>557612</v>
      </c>
      <c r="AE30">
        <v>0</v>
      </c>
      <c r="AF30" s="5">
        <v>46002.440972222219</v>
      </c>
      <c r="AG30" s="5">
        <v>46002.440972222219</v>
      </c>
      <c r="AH30" s="5">
        <v>46007.254166666666</v>
      </c>
      <c r="AI30">
        <v>1</v>
      </c>
    </row>
    <row r="31" spans="1:35" x14ac:dyDescent="0.2">
      <c r="A31" t="s">
        <v>647</v>
      </c>
      <c r="B31" t="s">
        <v>604</v>
      </c>
      <c r="C31" t="s">
        <v>634</v>
      </c>
      <c r="D31">
        <v>342120</v>
      </c>
      <c r="E31" t="s">
        <v>606</v>
      </c>
      <c r="F31">
        <v>14796</v>
      </c>
      <c r="G31">
        <v>70690</v>
      </c>
      <c r="J31">
        <v>148837</v>
      </c>
      <c r="K31">
        <v>0</v>
      </c>
      <c r="L31">
        <v>1</v>
      </c>
      <c r="M31">
        <v>1</v>
      </c>
      <c r="N31">
        <v>647496</v>
      </c>
      <c r="O31" t="s">
        <v>607</v>
      </c>
      <c r="P31">
        <v>367083</v>
      </c>
      <c r="Q31" t="s">
        <v>635</v>
      </c>
      <c r="R31">
        <v>1</v>
      </c>
      <c r="S31" t="s">
        <v>609</v>
      </c>
      <c r="T31">
        <v>1</v>
      </c>
      <c r="U31" t="s">
        <v>610</v>
      </c>
      <c r="V31">
        <v>1428914</v>
      </c>
      <c r="X31">
        <v>1428917</v>
      </c>
      <c r="Y31">
        <v>0</v>
      </c>
      <c r="Z31" s="5">
        <v>46007.25277777778</v>
      </c>
      <c r="AA31" s="5">
        <v>46007.253472222219</v>
      </c>
      <c r="AB31">
        <v>28</v>
      </c>
      <c r="AC31">
        <v>1</v>
      </c>
      <c r="AD31">
        <v>557612</v>
      </c>
      <c r="AE31">
        <v>0</v>
      </c>
      <c r="AF31" s="5">
        <v>46002.440972222219</v>
      </c>
      <c r="AG31" s="5">
        <v>46002.440972222219</v>
      </c>
      <c r="AH31" s="5">
        <v>46007.253472222219</v>
      </c>
      <c r="AI31">
        <v>1</v>
      </c>
    </row>
    <row r="32" spans="1:35" x14ac:dyDescent="0.2">
      <c r="A32" t="s">
        <v>648</v>
      </c>
      <c r="B32" t="s">
        <v>604</v>
      </c>
      <c r="C32" t="s">
        <v>634</v>
      </c>
      <c r="D32">
        <v>342120</v>
      </c>
      <c r="E32" t="s">
        <v>606</v>
      </c>
      <c r="F32">
        <v>14796</v>
      </c>
      <c r="G32">
        <v>70690</v>
      </c>
      <c r="J32">
        <v>148837</v>
      </c>
      <c r="K32">
        <v>0</v>
      </c>
      <c r="L32">
        <v>1</v>
      </c>
      <c r="M32">
        <v>1</v>
      </c>
      <c r="N32">
        <v>647411</v>
      </c>
      <c r="O32" t="s">
        <v>607</v>
      </c>
      <c r="P32">
        <v>367083</v>
      </c>
      <c r="Q32" t="s">
        <v>635</v>
      </c>
      <c r="R32">
        <v>1</v>
      </c>
      <c r="S32" t="s">
        <v>609</v>
      </c>
      <c r="T32">
        <v>1</v>
      </c>
      <c r="U32" t="s">
        <v>610</v>
      </c>
      <c r="V32">
        <v>1428914</v>
      </c>
      <c r="X32">
        <v>1428917</v>
      </c>
      <c r="Y32">
        <v>0</v>
      </c>
      <c r="Z32" s="5">
        <v>46007.25277777778</v>
      </c>
      <c r="AA32" s="5">
        <v>46007.253472222219</v>
      </c>
      <c r="AB32">
        <v>72</v>
      </c>
      <c r="AC32">
        <v>1</v>
      </c>
      <c r="AD32">
        <v>557612</v>
      </c>
      <c r="AE32">
        <v>0</v>
      </c>
      <c r="AF32" s="5">
        <v>46002.440972222219</v>
      </c>
      <c r="AG32" s="5">
        <v>46002.440972222219</v>
      </c>
      <c r="AH32" s="5">
        <v>46007.253472222219</v>
      </c>
      <c r="AI32">
        <v>1</v>
      </c>
    </row>
    <row r="33" spans="1:35" x14ac:dyDescent="0.2">
      <c r="A33" t="s">
        <v>649</v>
      </c>
      <c r="B33" t="s">
        <v>604</v>
      </c>
      <c r="C33" t="s">
        <v>634</v>
      </c>
      <c r="D33">
        <v>342120</v>
      </c>
      <c r="E33" t="s">
        <v>606</v>
      </c>
      <c r="F33">
        <v>14796</v>
      </c>
      <c r="G33">
        <v>70690</v>
      </c>
      <c r="J33">
        <v>148837</v>
      </c>
      <c r="K33">
        <v>0</v>
      </c>
      <c r="L33">
        <v>1</v>
      </c>
      <c r="M33">
        <v>1</v>
      </c>
      <c r="N33">
        <v>657525</v>
      </c>
      <c r="O33" t="s">
        <v>607</v>
      </c>
      <c r="P33">
        <v>367083</v>
      </c>
      <c r="Q33" t="s">
        <v>635</v>
      </c>
      <c r="R33">
        <v>1</v>
      </c>
      <c r="S33" t="s">
        <v>609</v>
      </c>
      <c r="T33">
        <v>1</v>
      </c>
      <c r="U33" t="s">
        <v>610</v>
      </c>
      <c r="V33">
        <v>1428914</v>
      </c>
      <c r="X33">
        <v>1428917</v>
      </c>
      <c r="Y33">
        <v>0</v>
      </c>
      <c r="Z33" s="5">
        <v>46007.25277777778</v>
      </c>
      <c r="AA33" s="5">
        <v>46007.253472222219</v>
      </c>
      <c r="AB33">
        <v>27</v>
      </c>
      <c r="AC33">
        <v>1</v>
      </c>
      <c r="AD33">
        <v>557612</v>
      </c>
      <c r="AE33">
        <v>0</v>
      </c>
      <c r="AF33" s="5">
        <v>46002.440972222219</v>
      </c>
      <c r="AG33" s="5">
        <v>46002.440972222219</v>
      </c>
      <c r="AH33" s="5">
        <v>46007.253472222219</v>
      </c>
      <c r="AI33">
        <v>1</v>
      </c>
    </row>
    <row r="34" spans="1:35" x14ac:dyDescent="0.2">
      <c r="A34" t="s">
        <v>650</v>
      </c>
      <c r="B34" t="s">
        <v>604</v>
      </c>
      <c r="C34" t="s">
        <v>634</v>
      </c>
      <c r="D34">
        <v>342120</v>
      </c>
      <c r="E34" t="s">
        <v>606</v>
      </c>
      <c r="F34">
        <v>14796</v>
      </c>
      <c r="G34">
        <v>70690</v>
      </c>
      <c r="J34">
        <v>148837</v>
      </c>
      <c r="K34">
        <v>0</v>
      </c>
      <c r="L34">
        <v>1</v>
      </c>
      <c r="M34">
        <v>1</v>
      </c>
      <c r="N34">
        <v>647739</v>
      </c>
      <c r="O34" t="s">
        <v>607</v>
      </c>
      <c r="P34">
        <v>367083</v>
      </c>
      <c r="Q34" t="s">
        <v>635</v>
      </c>
      <c r="R34">
        <v>1</v>
      </c>
      <c r="S34" t="s">
        <v>609</v>
      </c>
      <c r="T34">
        <v>1</v>
      </c>
      <c r="U34" t="s">
        <v>610</v>
      </c>
      <c r="V34">
        <v>1428916</v>
      </c>
      <c r="X34">
        <v>1428917</v>
      </c>
      <c r="Y34">
        <v>0</v>
      </c>
      <c r="Z34" s="5">
        <v>46007.254861111112</v>
      </c>
      <c r="AA34" s="5">
        <v>46007.255555555559</v>
      </c>
      <c r="AB34">
        <v>74</v>
      </c>
      <c r="AC34">
        <v>1</v>
      </c>
      <c r="AD34">
        <v>557612</v>
      </c>
      <c r="AE34">
        <v>0</v>
      </c>
      <c r="AF34" s="5">
        <v>46002.440972222219</v>
      </c>
      <c r="AG34" s="5">
        <v>46002.440972222219</v>
      </c>
      <c r="AH34" s="5">
        <v>46007.255555555559</v>
      </c>
      <c r="AI34">
        <v>1</v>
      </c>
    </row>
    <row r="35" spans="1:35" x14ac:dyDescent="0.2">
      <c r="A35" t="s">
        <v>651</v>
      </c>
      <c r="B35" t="s">
        <v>604</v>
      </c>
      <c r="C35" t="s">
        <v>634</v>
      </c>
      <c r="D35">
        <v>342120</v>
      </c>
      <c r="E35" t="s">
        <v>606</v>
      </c>
      <c r="F35">
        <v>14796</v>
      </c>
      <c r="G35">
        <v>70690</v>
      </c>
      <c r="J35">
        <v>148837</v>
      </c>
      <c r="K35">
        <v>0</v>
      </c>
      <c r="L35">
        <v>1</v>
      </c>
      <c r="M35">
        <v>1</v>
      </c>
      <c r="N35">
        <v>647433</v>
      </c>
      <c r="O35" t="s">
        <v>607</v>
      </c>
      <c r="P35">
        <v>367083</v>
      </c>
      <c r="Q35" t="s">
        <v>635</v>
      </c>
      <c r="R35">
        <v>1</v>
      </c>
      <c r="S35" t="s">
        <v>609</v>
      </c>
      <c r="T35">
        <v>1</v>
      </c>
      <c r="U35" t="s">
        <v>610</v>
      </c>
      <c r="V35">
        <v>1428914</v>
      </c>
      <c r="X35">
        <v>1428917</v>
      </c>
      <c r="Y35">
        <v>0</v>
      </c>
      <c r="Z35" s="5">
        <v>46007.25277777778</v>
      </c>
      <c r="AA35" s="5">
        <v>46007.254166666666</v>
      </c>
      <c r="AB35">
        <v>80</v>
      </c>
      <c r="AC35">
        <v>1</v>
      </c>
      <c r="AD35">
        <v>557612</v>
      </c>
      <c r="AE35">
        <v>0</v>
      </c>
      <c r="AF35" s="5">
        <v>46002.440972222219</v>
      </c>
      <c r="AG35" s="5">
        <v>46002.440972222219</v>
      </c>
      <c r="AH35" s="5">
        <v>46007.254166666666</v>
      </c>
      <c r="AI35">
        <v>1</v>
      </c>
    </row>
    <row r="36" spans="1:35" x14ac:dyDescent="0.2">
      <c r="A36" t="s">
        <v>652</v>
      </c>
      <c r="B36" t="s">
        <v>604</v>
      </c>
      <c r="C36" t="s">
        <v>634</v>
      </c>
      <c r="D36">
        <v>342120</v>
      </c>
      <c r="E36" t="s">
        <v>606</v>
      </c>
      <c r="F36">
        <v>14796</v>
      </c>
      <c r="G36">
        <v>70690</v>
      </c>
      <c r="J36">
        <v>148837</v>
      </c>
      <c r="K36">
        <v>0</v>
      </c>
      <c r="L36">
        <v>1</v>
      </c>
      <c r="M36">
        <v>1</v>
      </c>
      <c r="N36">
        <v>652940</v>
      </c>
      <c r="O36" t="s">
        <v>607</v>
      </c>
      <c r="P36">
        <v>367083</v>
      </c>
      <c r="Q36" t="s">
        <v>635</v>
      </c>
      <c r="R36">
        <v>1</v>
      </c>
      <c r="S36" t="s">
        <v>609</v>
      </c>
      <c r="T36">
        <v>1</v>
      </c>
      <c r="U36" t="s">
        <v>610</v>
      </c>
      <c r="V36">
        <v>1428914</v>
      </c>
      <c r="X36">
        <v>1428917</v>
      </c>
      <c r="Y36">
        <v>0</v>
      </c>
      <c r="Z36" s="5">
        <v>46007.25277777778</v>
      </c>
      <c r="AA36" s="5">
        <v>46007.25277777778</v>
      </c>
      <c r="AB36">
        <v>12</v>
      </c>
      <c r="AC36">
        <v>1</v>
      </c>
      <c r="AD36">
        <v>557612</v>
      </c>
      <c r="AE36">
        <v>0</v>
      </c>
      <c r="AF36" s="5">
        <v>46002.440972222219</v>
      </c>
      <c r="AG36" s="5">
        <v>46002.440972222219</v>
      </c>
      <c r="AH36" s="5">
        <v>46007.25277777778</v>
      </c>
      <c r="AI36">
        <v>1</v>
      </c>
    </row>
    <row r="37" spans="1:35" x14ac:dyDescent="0.2">
      <c r="A37" t="s">
        <v>653</v>
      </c>
      <c r="B37" t="s">
        <v>604</v>
      </c>
      <c r="C37" t="s">
        <v>654</v>
      </c>
      <c r="D37">
        <v>342127</v>
      </c>
      <c r="E37" t="s">
        <v>606</v>
      </c>
      <c r="F37">
        <v>14796</v>
      </c>
      <c r="G37">
        <v>70690</v>
      </c>
      <c r="J37">
        <v>148841</v>
      </c>
      <c r="K37">
        <v>0</v>
      </c>
      <c r="L37">
        <v>1</v>
      </c>
      <c r="M37">
        <v>1</v>
      </c>
      <c r="N37">
        <v>647748</v>
      </c>
      <c r="O37" t="s">
        <v>607</v>
      </c>
      <c r="P37">
        <v>323256</v>
      </c>
      <c r="Q37" t="s">
        <v>655</v>
      </c>
      <c r="R37">
        <v>1</v>
      </c>
      <c r="S37" t="s">
        <v>609</v>
      </c>
      <c r="T37">
        <v>0</v>
      </c>
      <c r="U37" t="s">
        <v>610</v>
      </c>
      <c r="V37">
        <v>1265054</v>
      </c>
      <c r="X37">
        <v>1265052</v>
      </c>
      <c r="Y37">
        <v>0</v>
      </c>
      <c r="Z37" s="5">
        <v>46007.234722222223</v>
      </c>
      <c r="AA37" s="5">
        <v>46007.23541666667</v>
      </c>
      <c r="AB37">
        <v>60</v>
      </c>
      <c r="AC37">
        <v>4</v>
      </c>
      <c r="AD37">
        <v>557612</v>
      </c>
      <c r="AE37">
        <v>0</v>
      </c>
      <c r="AF37" s="5">
        <v>46002.440972222219</v>
      </c>
      <c r="AG37" s="5">
        <v>46002.440972222219</v>
      </c>
      <c r="AH37" s="5">
        <v>46007.23541666667</v>
      </c>
      <c r="AI37">
        <v>1</v>
      </c>
    </row>
    <row r="38" spans="1:35" x14ac:dyDescent="0.2">
      <c r="A38" t="s">
        <v>656</v>
      </c>
      <c r="B38" t="s">
        <v>604</v>
      </c>
      <c r="C38" t="s">
        <v>654</v>
      </c>
      <c r="D38">
        <v>342127</v>
      </c>
      <c r="E38" t="s">
        <v>606</v>
      </c>
      <c r="F38">
        <v>14796</v>
      </c>
      <c r="G38">
        <v>70690</v>
      </c>
      <c r="J38">
        <v>148841</v>
      </c>
      <c r="K38">
        <v>0</v>
      </c>
      <c r="L38">
        <v>1</v>
      </c>
      <c r="M38">
        <v>1</v>
      </c>
      <c r="N38">
        <v>647496</v>
      </c>
      <c r="O38" t="s">
        <v>607</v>
      </c>
      <c r="P38">
        <v>323256</v>
      </c>
      <c r="Q38" t="s">
        <v>655</v>
      </c>
      <c r="R38">
        <v>1</v>
      </c>
      <c r="S38" t="s">
        <v>609</v>
      </c>
      <c r="T38">
        <v>0</v>
      </c>
      <c r="U38" t="s">
        <v>610</v>
      </c>
      <c r="V38">
        <v>1265052</v>
      </c>
      <c r="X38">
        <v>1265052</v>
      </c>
      <c r="Y38">
        <v>1</v>
      </c>
      <c r="Z38" s="5">
        <v>46007.234722222223</v>
      </c>
      <c r="AA38" s="5">
        <v>46007.23541666667</v>
      </c>
      <c r="AB38">
        <v>60</v>
      </c>
      <c r="AC38">
        <v>1</v>
      </c>
      <c r="AD38">
        <v>557612</v>
      </c>
      <c r="AE38">
        <v>0</v>
      </c>
      <c r="AF38" s="5">
        <v>46002.440972222219</v>
      </c>
      <c r="AG38" s="5">
        <v>46002.440972222219</v>
      </c>
      <c r="AH38" s="5">
        <v>46007.23541666667</v>
      </c>
      <c r="AI38">
        <v>1</v>
      </c>
    </row>
    <row r="39" spans="1:35" x14ac:dyDescent="0.2">
      <c r="A39" t="s">
        <v>657</v>
      </c>
      <c r="B39" t="s">
        <v>604</v>
      </c>
      <c r="C39" t="s">
        <v>654</v>
      </c>
      <c r="D39">
        <v>342127</v>
      </c>
      <c r="E39" t="s">
        <v>606</v>
      </c>
      <c r="F39">
        <v>14796</v>
      </c>
      <c r="G39">
        <v>70690</v>
      </c>
      <c r="J39">
        <v>148841</v>
      </c>
      <c r="K39">
        <v>0</v>
      </c>
      <c r="L39">
        <v>0</v>
      </c>
      <c r="M39">
        <v>0</v>
      </c>
      <c r="N39">
        <v>652938</v>
      </c>
      <c r="O39" t="s">
        <v>607</v>
      </c>
      <c r="P39">
        <v>323256</v>
      </c>
      <c r="Q39" t="s">
        <v>655</v>
      </c>
      <c r="R39">
        <v>1</v>
      </c>
      <c r="S39" t="s">
        <v>609</v>
      </c>
      <c r="T39">
        <v>0</v>
      </c>
      <c r="U39" t="s">
        <v>610</v>
      </c>
      <c r="V39">
        <v>-1</v>
      </c>
      <c r="X39">
        <v>1265052</v>
      </c>
      <c r="Z39" s="5">
        <v>46007.234722222223</v>
      </c>
      <c r="AA39" s="5">
        <v>46007.234722222223</v>
      </c>
      <c r="AC39">
        <v>0</v>
      </c>
      <c r="AD39">
        <v>557612</v>
      </c>
      <c r="AE39">
        <v>0</v>
      </c>
      <c r="AF39" s="5">
        <v>46002.440972222219</v>
      </c>
      <c r="AG39" s="5">
        <v>46002.440972222219</v>
      </c>
      <c r="AI39">
        <v>1</v>
      </c>
    </row>
    <row r="40" spans="1:35" x14ac:dyDescent="0.2">
      <c r="A40" t="s">
        <v>658</v>
      </c>
      <c r="B40" t="s">
        <v>604</v>
      </c>
      <c r="C40" t="s">
        <v>654</v>
      </c>
      <c r="D40">
        <v>342127</v>
      </c>
      <c r="E40" t="s">
        <v>606</v>
      </c>
      <c r="F40">
        <v>14796</v>
      </c>
      <c r="G40">
        <v>70690</v>
      </c>
      <c r="J40">
        <v>148841</v>
      </c>
      <c r="K40">
        <v>0</v>
      </c>
      <c r="L40">
        <v>1</v>
      </c>
      <c r="M40">
        <v>1</v>
      </c>
      <c r="N40">
        <v>647504</v>
      </c>
      <c r="O40" t="s">
        <v>607</v>
      </c>
      <c r="P40">
        <v>323256</v>
      </c>
      <c r="Q40" t="s">
        <v>655</v>
      </c>
      <c r="R40">
        <v>1</v>
      </c>
      <c r="S40" t="s">
        <v>609</v>
      </c>
      <c r="T40">
        <v>0</v>
      </c>
      <c r="U40" t="s">
        <v>610</v>
      </c>
      <c r="V40">
        <v>1265053</v>
      </c>
      <c r="X40">
        <v>1265052</v>
      </c>
      <c r="Y40">
        <v>0</v>
      </c>
      <c r="Z40" s="5">
        <v>46007.234722222223</v>
      </c>
      <c r="AA40" s="5">
        <v>46007.23541666667</v>
      </c>
      <c r="AB40">
        <v>60</v>
      </c>
      <c r="AC40">
        <v>1</v>
      </c>
      <c r="AD40">
        <v>557612</v>
      </c>
      <c r="AE40">
        <v>0</v>
      </c>
      <c r="AF40" s="5">
        <v>46002.440972222219</v>
      </c>
      <c r="AG40" s="5">
        <v>46002.440972222219</v>
      </c>
      <c r="AH40" s="5">
        <v>46007.23541666667</v>
      </c>
      <c r="AI40">
        <v>1</v>
      </c>
    </row>
    <row r="41" spans="1:35" x14ac:dyDescent="0.2">
      <c r="A41" t="s">
        <v>659</v>
      </c>
      <c r="B41" t="s">
        <v>604</v>
      </c>
      <c r="C41" t="s">
        <v>654</v>
      </c>
      <c r="D41">
        <v>342127</v>
      </c>
      <c r="E41" t="s">
        <v>606</v>
      </c>
      <c r="F41">
        <v>14796</v>
      </c>
      <c r="G41">
        <v>70690</v>
      </c>
      <c r="J41">
        <v>148841</v>
      </c>
      <c r="K41">
        <v>0</v>
      </c>
      <c r="L41">
        <v>1</v>
      </c>
      <c r="M41">
        <v>1</v>
      </c>
      <c r="N41">
        <v>648986</v>
      </c>
      <c r="O41" t="s">
        <v>607</v>
      </c>
      <c r="P41">
        <v>323256</v>
      </c>
      <c r="Q41" t="s">
        <v>655</v>
      </c>
      <c r="R41">
        <v>1</v>
      </c>
      <c r="S41" t="s">
        <v>609</v>
      </c>
      <c r="T41">
        <v>0</v>
      </c>
      <c r="U41" t="s">
        <v>610</v>
      </c>
      <c r="V41">
        <v>1265051</v>
      </c>
      <c r="X41">
        <v>1265052</v>
      </c>
      <c r="Y41">
        <v>0</v>
      </c>
      <c r="Z41" s="5">
        <v>46007.234722222223</v>
      </c>
      <c r="AA41" s="5">
        <v>46007.23541666667</v>
      </c>
      <c r="AB41">
        <v>60</v>
      </c>
      <c r="AC41">
        <v>2</v>
      </c>
      <c r="AD41">
        <v>557612</v>
      </c>
      <c r="AE41">
        <v>0</v>
      </c>
      <c r="AF41" s="5">
        <v>46002.440972222219</v>
      </c>
      <c r="AG41" s="5">
        <v>46002.440972222219</v>
      </c>
      <c r="AH41" s="5">
        <v>46007.23541666667</v>
      </c>
      <c r="AI41">
        <v>1</v>
      </c>
    </row>
    <row r="42" spans="1:35" x14ac:dyDescent="0.2">
      <c r="A42" t="s">
        <v>660</v>
      </c>
      <c r="B42" t="s">
        <v>604</v>
      </c>
      <c r="C42" t="s">
        <v>654</v>
      </c>
      <c r="D42">
        <v>342127</v>
      </c>
      <c r="E42" t="s">
        <v>606</v>
      </c>
      <c r="F42">
        <v>14796</v>
      </c>
      <c r="G42">
        <v>70690</v>
      </c>
      <c r="J42">
        <v>148841</v>
      </c>
      <c r="K42">
        <v>0</v>
      </c>
      <c r="L42">
        <v>1</v>
      </c>
      <c r="M42">
        <v>1</v>
      </c>
      <c r="N42">
        <v>648959</v>
      </c>
      <c r="O42" t="s">
        <v>607</v>
      </c>
      <c r="P42">
        <v>323256</v>
      </c>
      <c r="Q42" t="s">
        <v>655</v>
      </c>
      <c r="R42">
        <v>1</v>
      </c>
      <c r="S42" t="s">
        <v>609</v>
      </c>
      <c r="T42">
        <v>0</v>
      </c>
      <c r="U42" t="s">
        <v>610</v>
      </c>
      <c r="V42">
        <v>1265051</v>
      </c>
      <c r="X42">
        <v>1265052</v>
      </c>
      <c r="Y42">
        <v>0</v>
      </c>
      <c r="Z42" s="5">
        <v>46007.234722222223</v>
      </c>
      <c r="AA42" s="5">
        <v>46007.23541666667</v>
      </c>
      <c r="AB42">
        <v>60</v>
      </c>
      <c r="AC42">
        <v>4</v>
      </c>
      <c r="AD42">
        <v>557612</v>
      </c>
      <c r="AE42">
        <v>0</v>
      </c>
      <c r="AF42" s="5">
        <v>46002.440972222219</v>
      </c>
      <c r="AG42" s="5">
        <v>46002.440972222219</v>
      </c>
      <c r="AH42" s="5">
        <v>46007.23541666667</v>
      </c>
      <c r="AI42">
        <v>1</v>
      </c>
    </row>
    <row r="43" spans="1:35" x14ac:dyDescent="0.2">
      <c r="A43" t="s">
        <v>661</v>
      </c>
      <c r="B43" t="s">
        <v>604</v>
      </c>
      <c r="C43" t="s">
        <v>654</v>
      </c>
      <c r="D43">
        <v>342127</v>
      </c>
      <c r="E43" t="s">
        <v>606</v>
      </c>
      <c r="F43">
        <v>14796</v>
      </c>
      <c r="G43">
        <v>70690</v>
      </c>
      <c r="J43">
        <v>148841</v>
      </c>
      <c r="K43">
        <v>0</v>
      </c>
      <c r="L43">
        <v>0</v>
      </c>
      <c r="M43">
        <v>0</v>
      </c>
      <c r="N43">
        <v>647404</v>
      </c>
      <c r="O43" t="s">
        <v>607</v>
      </c>
      <c r="P43">
        <v>323256</v>
      </c>
      <c r="Q43" t="s">
        <v>655</v>
      </c>
      <c r="R43">
        <v>1</v>
      </c>
      <c r="S43" t="s">
        <v>609</v>
      </c>
      <c r="T43">
        <v>0</v>
      </c>
      <c r="U43" t="s">
        <v>610</v>
      </c>
      <c r="V43">
        <v>-1</v>
      </c>
      <c r="X43">
        <v>1265052</v>
      </c>
      <c r="Z43" s="5">
        <v>46007.234722222223</v>
      </c>
      <c r="AA43" s="5">
        <v>46007.234722222223</v>
      </c>
      <c r="AC43">
        <v>0</v>
      </c>
      <c r="AD43">
        <v>557612</v>
      </c>
      <c r="AE43">
        <v>0</v>
      </c>
      <c r="AF43" s="5">
        <v>46002.440972222219</v>
      </c>
      <c r="AG43" s="5">
        <v>46002.440972222219</v>
      </c>
      <c r="AI43">
        <v>1</v>
      </c>
    </row>
    <row r="44" spans="1:35" x14ac:dyDescent="0.2">
      <c r="A44" t="s">
        <v>662</v>
      </c>
      <c r="B44" t="s">
        <v>604</v>
      </c>
      <c r="C44" t="s">
        <v>654</v>
      </c>
      <c r="D44">
        <v>342127</v>
      </c>
      <c r="E44" t="s">
        <v>606</v>
      </c>
      <c r="F44">
        <v>14796</v>
      </c>
      <c r="G44">
        <v>70690</v>
      </c>
      <c r="J44">
        <v>148841</v>
      </c>
      <c r="K44">
        <v>0</v>
      </c>
      <c r="L44">
        <v>0</v>
      </c>
      <c r="M44">
        <v>0</v>
      </c>
      <c r="N44">
        <v>652929</v>
      </c>
      <c r="O44" t="s">
        <v>607</v>
      </c>
      <c r="P44">
        <v>323256</v>
      </c>
      <c r="Q44" t="s">
        <v>655</v>
      </c>
      <c r="R44">
        <v>1</v>
      </c>
      <c r="S44" t="s">
        <v>609</v>
      </c>
      <c r="T44">
        <v>0</v>
      </c>
      <c r="U44" t="s">
        <v>610</v>
      </c>
      <c r="V44">
        <v>-1</v>
      </c>
      <c r="X44">
        <v>1265052</v>
      </c>
      <c r="Z44" s="5">
        <v>46007.234722222223</v>
      </c>
      <c r="AA44" s="5">
        <v>46007.234722222223</v>
      </c>
      <c r="AC44">
        <v>0</v>
      </c>
      <c r="AD44">
        <v>557612</v>
      </c>
      <c r="AE44">
        <v>0</v>
      </c>
      <c r="AF44" s="5">
        <v>46002.440972222219</v>
      </c>
      <c r="AG44" s="5">
        <v>46002.440972222219</v>
      </c>
      <c r="AI44">
        <v>1</v>
      </c>
    </row>
    <row r="45" spans="1:35" x14ac:dyDescent="0.2">
      <c r="A45" t="s">
        <v>663</v>
      </c>
      <c r="B45" t="s">
        <v>604</v>
      </c>
      <c r="C45" t="s">
        <v>654</v>
      </c>
      <c r="D45">
        <v>342127</v>
      </c>
      <c r="E45" t="s">
        <v>606</v>
      </c>
      <c r="F45">
        <v>14796</v>
      </c>
      <c r="G45">
        <v>70690</v>
      </c>
      <c r="J45">
        <v>148841</v>
      </c>
      <c r="K45">
        <v>0</v>
      </c>
      <c r="L45">
        <v>0</v>
      </c>
      <c r="M45">
        <v>0</v>
      </c>
      <c r="N45">
        <v>648953</v>
      </c>
      <c r="O45" t="s">
        <v>607</v>
      </c>
      <c r="P45">
        <v>323256</v>
      </c>
      <c r="Q45" t="s">
        <v>655</v>
      </c>
      <c r="R45">
        <v>1</v>
      </c>
      <c r="S45" t="s">
        <v>609</v>
      </c>
      <c r="T45">
        <v>0</v>
      </c>
      <c r="U45" t="s">
        <v>610</v>
      </c>
      <c r="V45">
        <v>-1</v>
      </c>
      <c r="X45">
        <v>1265052</v>
      </c>
      <c r="Z45" s="5">
        <v>46007.234722222223</v>
      </c>
      <c r="AA45" s="5">
        <v>46007.234722222223</v>
      </c>
      <c r="AC45">
        <v>0</v>
      </c>
      <c r="AD45">
        <v>557612</v>
      </c>
      <c r="AE45">
        <v>0</v>
      </c>
      <c r="AF45" s="5">
        <v>46002.440972222219</v>
      </c>
      <c r="AG45" s="5">
        <v>46002.440972222219</v>
      </c>
      <c r="AI45">
        <v>1</v>
      </c>
    </row>
    <row r="46" spans="1:35" x14ac:dyDescent="0.2">
      <c r="A46" t="s">
        <v>664</v>
      </c>
      <c r="B46" t="s">
        <v>604</v>
      </c>
      <c r="C46" t="s">
        <v>654</v>
      </c>
      <c r="D46">
        <v>342127</v>
      </c>
      <c r="E46" t="s">
        <v>606</v>
      </c>
      <c r="F46">
        <v>14796</v>
      </c>
      <c r="G46">
        <v>70690</v>
      </c>
      <c r="J46">
        <v>148841</v>
      </c>
      <c r="K46">
        <v>0</v>
      </c>
      <c r="L46">
        <v>0</v>
      </c>
      <c r="M46">
        <v>0</v>
      </c>
      <c r="N46">
        <v>647295</v>
      </c>
      <c r="O46" t="s">
        <v>607</v>
      </c>
      <c r="P46">
        <v>323256</v>
      </c>
      <c r="Q46" t="s">
        <v>655</v>
      </c>
      <c r="R46">
        <v>1</v>
      </c>
      <c r="S46" t="s">
        <v>609</v>
      </c>
      <c r="T46">
        <v>0</v>
      </c>
      <c r="U46" t="s">
        <v>610</v>
      </c>
      <c r="V46">
        <v>-1</v>
      </c>
      <c r="X46">
        <v>1265052</v>
      </c>
      <c r="Z46" s="5">
        <v>46007.234722222223</v>
      </c>
      <c r="AA46" s="5">
        <v>46007.234722222223</v>
      </c>
      <c r="AC46">
        <v>0</v>
      </c>
      <c r="AD46">
        <v>557612</v>
      </c>
      <c r="AE46">
        <v>0</v>
      </c>
      <c r="AF46" s="5">
        <v>46002.440972222219</v>
      </c>
      <c r="AG46" s="5">
        <v>46002.440972222219</v>
      </c>
      <c r="AI46">
        <v>1</v>
      </c>
    </row>
    <row r="47" spans="1:35" x14ac:dyDescent="0.2">
      <c r="A47" t="s">
        <v>665</v>
      </c>
      <c r="B47" t="s">
        <v>604</v>
      </c>
      <c r="C47" t="s">
        <v>654</v>
      </c>
      <c r="D47">
        <v>342127</v>
      </c>
      <c r="E47" t="s">
        <v>606</v>
      </c>
      <c r="F47">
        <v>14796</v>
      </c>
      <c r="G47">
        <v>70690</v>
      </c>
      <c r="J47">
        <v>148841</v>
      </c>
      <c r="K47">
        <v>0</v>
      </c>
      <c r="L47">
        <v>1</v>
      </c>
      <c r="M47">
        <v>1</v>
      </c>
      <c r="N47">
        <v>647499</v>
      </c>
      <c r="O47" t="s">
        <v>607</v>
      </c>
      <c r="P47">
        <v>323256</v>
      </c>
      <c r="Q47" t="s">
        <v>655</v>
      </c>
      <c r="R47">
        <v>1</v>
      </c>
      <c r="S47" t="s">
        <v>609</v>
      </c>
      <c r="T47">
        <v>0</v>
      </c>
      <c r="U47" t="s">
        <v>610</v>
      </c>
      <c r="V47">
        <v>1265054</v>
      </c>
      <c r="X47">
        <v>1265052</v>
      </c>
      <c r="Y47">
        <v>0</v>
      </c>
      <c r="Z47" s="5">
        <v>46007.234722222223</v>
      </c>
      <c r="AA47" s="5">
        <v>46007.23541666667</v>
      </c>
      <c r="AB47">
        <v>60</v>
      </c>
      <c r="AC47">
        <v>3</v>
      </c>
      <c r="AD47">
        <v>557612</v>
      </c>
      <c r="AE47">
        <v>0</v>
      </c>
      <c r="AF47" s="5">
        <v>46002.440972222219</v>
      </c>
      <c r="AG47" s="5">
        <v>46002.440972222219</v>
      </c>
      <c r="AH47" s="5">
        <v>46007.23541666667</v>
      </c>
      <c r="AI47">
        <v>1</v>
      </c>
    </row>
    <row r="48" spans="1:35" x14ac:dyDescent="0.2">
      <c r="A48" t="s">
        <v>666</v>
      </c>
      <c r="B48" t="s">
        <v>604</v>
      </c>
      <c r="C48" t="s">
        <v>654</v>
      </c>
      <c r="D48">
        <v>342127</v>
      </c>
      <c r="E48" t="s">
        <v>606</v>
      </c>
      <c r="F48">
        <v>14796</v>
      </c>
      <c r="G48">
        <v>70690</v>
      </c>
      <c r="J48">
        <v>148841</v>
      </c>
      <c r="K48">
        <v>0</v>
      </c>
      <c r="L48">
        <v>1</v>
      </c>
      <c r="M48">
        <v>1</v>
      </c>
      <c r="N48">
        <v>647426</v>
      </c>
      <c r="O48" t="s">
        <v>607</v>
      </c>
      <c r="P48">
        <v>323256</v>
      </c>
      <c r="Q48" t="s">
        <v>655</v>
      </c>
      <c r="R48">
        <v>1</v>
      </c>
      <c r="S48" t="s">
        <v>609</v>
      </c>
      <c r="T48">
        <v>0</v>
      </c>
      <c r="U48" t="s">
        <v>610</v>
      </c>
      <c r="V48">
        <v>1265053</v>
      </c>
      <c r="X48">
        <v>1265052</v>
      </c>
      <c r="Y48">
        <v>0</v>
      </c>
      <c r="Z48" s="5">
        <v>46007.234722222223</v>
      </c>
      <c r="AA48" s="5">
        <v>46007.23541666667</v>
      </c>
      <c r="AB48">
        <v>60</v>
      </c>
      <c r="AC48">
        <v>1</v>
      </c>
      <c r="AD48">
        <v>557612</v>
      </c>
      <c r="AE48">
        <v>0</v>
      </c>
      <c r="AF48" s="5">
        <v>46002.440972222219</v>
      </c>
      <c r="AG48" s="5">
        <v>46002.440972222219</v>
      </c>
      <c r="AH48" s="5">
        <v>46007.23541666667</v>
      </c>
      <c r="AI48">
        <v>1</v>
      </c>
    </row>
    <row r="49" spans="1:35" x14ac:dyDescent="0.2">
      <c r="A49" t="s">
        <v>667</v>
      </c>
      <c r="B49" t="s">
        <v>604</v>
      </c>
      <c r="C49" t="s">
        <v>654</v>
      </c>
      <c r="D49">
        <v>342127</v>
      </c>
      <c r="E49" t="s">
        <v>606</v>
      </c>
      <c r="F49">
        <v>14796</v>
      </c>
      <c r="G49">
        <v>70690</v>
      </c>
      <c r="J49">
        <v>148841</v>
      </c>
      <c r="K49">
        <v>0</v>
      </c>
      <c r="L49">
        <v>1</v>
      </c>
      <c r="M49">
        <v>1</v>
      </c>
      <c r="N49">
        <v>647433</v>
      </c>
      <c r="O49" t="s">
        <v>607</v>
      </c>
      <c r="P49">
        <v>323256</v>
      </c>
      <c r="Q49" t="s">
        <v>655</v>
      </c>
      <c r="R49">
        <v>1</v>
      </c>
      <c r="S49" t="s">
        <v>609</v>
      </c>
      <c r="T49">
        <v>0</v>
      </c>
      <c r="U49" t="s">
        <v>610</v>
      </c>
      <c r="V49">
        <v>1265052</v>
      </c>
      <c r="X49">
        <v>1265052</v>
      </c>
      <c r="Y49">
        <v>1</v>
      </c>
      <c r="Z49" s="5">
        <v>46007.234722222223</v>
      </c>
      <c r="AA49" s="5">
        <v>46007.23541666667</v>
      </c>
      <c r="AB49">
        <v>60</v>
      </c>
      <c r="AC49">
        <v>1</v>
      </c>
      <c r="AD49">
        <v>557612</v>
      </c>
      <c r="AE49">
        <v>0</v>
      </c>
      <c r="AF49" s="5">
        <v>46002.440972222219</v>
      </c>
      <c r="AG49" s="5">
        <v>46002.440972222219</v>
      </c>
      <c r="AH49" s="5">
        <v>46007.23541666667</v>
      </c>
      <c r="AI49">
        <v>1</v>
      </c>
    </row>
    <row r="50" spans="1:35" x14ac:dyDescent="0.2">
      <c r="A50" t="s">
        <v>668</v>
      </c>
      <c r="B50" t="s">
        <v>604</v>
      </c>
      <c r="C50" t="s">
        <v>654</v>
      </c>
      <c r="D50">
        <v>342127</v>
      </c>
      <c r="E50" t="s">
        <v>606</v>
      </c>
      <c r="F50">
        <v>14796</v>
      </c>
      <c r="G50">
        <v>70690</v>
      </c>
      <c r="J50">
        <v>148841</v>
      </c>
      <c r="K50">
        <v>0</v>
      </c>
      <c r="L50">
        <v>1</v>
      </c>
      <c r="M50">
        <v>1</v>
      </c>
      <c r="N50">
        <v>647411</v>
      </c>
      <c r="O50" t="s">
        <v>607</v>
      </c>
      <c r="P50">
        <v>323256</v>
      </c>
      <c r="Q50" t="s">
        <v>655</v>
      </c>
      <c r="R50">
        <v>1</v>
      </c>
      <c r="S50" t="s">
        <v>609</v>
      </c>
      <c r="T50">
        <v>0</v>
      </c>
      <c r="U50" t="s">
        <v>610</v>
      </c>
      <c r="V50">
        <v>1265052</v>
      </c>
      <c r="X50">
        <v>1265052</v>
      </c>
      <c r="Y50">
        <v>1</v>
      </c>
      <c r="Z50" s="5">
        <v>46007.234722222223</v>
      </c>
      <c r="AA50" s="5">
        <v>46007.23541666667</v>
      </c>
      <c r="AB50">
        <v>60</v>
      </c>
      <c r="AC50">
        <v>4</v>
      </c>
      <c r="AD50">
        <v>557612</v>
      </c>
      <c r="AE50">
        <v>0</v>
      </c>
      <c r="AF50" s="5">
        <v>46002.440972222219</v>
      </c>
      <c r="AG50" s="5">
        <v>46002.440972222219</v>
      </c>
      <c r="AH50" s="5">
        <v>46007.23541666667</v>
      </c>
      <c r="AI50">
        <v>1</v>
      </c>
    </row>
    <row r="51" spans="1:35" x14ac:dyDescent="0.2">
      <c r="A51" t="s">
        <v>669</v>
      </c>
      <c r="B51" t="s">
        <v>604</v>
      </c>
      <c r="C51" t="s">
        <v>654</v>
      </c>
      <c r="D51">
        <v>342127</v>
      </c>
      <c r="E51" t="s">
        <v>606</v>
      </c>
      <c r="F51">
        <v>14796</v>
      </c>
      <c r="G51">
        <v>70690</v>
      </c>
      <c r="J51">
        <v>148841</v>
      </c>
      <c r="K51">
        <v>0</v>
      </c>
      <c r="L51">
        <v>1</v>
      </c>
      <c r="M51">
        <v>1</v>
      </c>
      <c r="N51">
        <v>651452</v>
      </c>
      <c r="O51" t="s">
        <v>607</v>
      </c>
      <c r="P51">
        <v>323256</v>
      </c>
      <c r="Q51" t="s">
        <v>655</v>
      </c>
      <c r="R51">
        <v>1</v>
      </c>
      <c r="S51" t="s">
        <v>609</v>
      </c>
      <c r="T51">
        <v>0</v>
      </c>
      <c r="U51" t="s">
        <v>610</v>
      </c>
      <c r="V51">
        <v>1265053</v>
      </c>
      <c r="X51">
        <v>1265052</v>
      </c>
      <c r="Y51">
        <v>0</v>
      </c>
      <c r="Z51" s="5">
        <v>46007.234722222223</v>
      </c>
      <c r="AA51" s="5">
        <v>46007.23541666667</v>
      </c>
      <c r="AB51">
        <v>60</v>
      </c>
      <c r="AC51">
        <v>1</v>
      </c>
      <c r="AD51">
        <v>557612</v>
      </c>
      <c r="AE51">
        <v>0</v>
      </c>
      <c r="AF51" s="5">
        <v>46002.440972222219</v>
      </c>
      <c r="AG51" s="5">
        <v>46002.440972222219</v>
      </c>
      <c r="AH51" s="5">
        <v>46007.23541666667</v>
      </c>
      <c r="AI51">
        <v>1</v>
      </c>
    </row>
    <row r="52" spans="1:35" x14ac:dyDescent="0.2">
      <c r="A52" t="s">
        <v>670</v>
      </c>
      <c r="B52" t="s">
        <v>604</v>
      </c>
      <c r="C52" t="s">
        <v>654</v>
      </c>
      <c r="D52">
        <v>342127</v>
      </c>
      <c r="E52" t="s">
        <v>606</v>
      </c>
      <c r="F52">
        <v>14796</v>
      </c>
      <c r="G52">
        <v>70690</v>
      </c>
      <c r="J52">
        <v>148841</v>
      </c>
      <c r="K52">
        <v>0</v>
      </c>
      <c r="L52">
        <v>1</v>
      </c>
      <c r="M52">
        <v>1</v>
      </c>
      <c r="N52">
        <v>652934</v>
      </c>
      <c r="O52" t="s">
        <v>607</v>
      </c>
      <c r="P52">
        <v>323256</v>
      </c>
      <c r="Q52" t="s">
        <v>655</v>
      </c>
      <c r="R52">
        <v>1</v>
      </c>
      <c r="S52" t="s">
        <v>609</v>
      </c>
      <c r="T52">
        <v>0</v>
      </c>
      <c r="U52" t="s">
        <v>610</v>
      </c>
      <c r="V52">
        <v>1265054</v>
      </c>
      <c r="X52">
        <v>1265052</v>
      </c>
      <c r="Y52">
        <v>0</v>
      </c>
      <c r="Z52" s="5">
        <v>46007.234722222223</v>
      </c>
      <c r="AA52" s="5">
        <v>46007.23541666667</v>
      </c>
      <c r="AB52">
        <v>60</v>
      </c>
      <c r="AC52">
        <v>1</v>
      </c>
      <c r="AD52">
        <v>557612</v>
      </c>
      <c r="AE52">
        <v>0</v>
      </c>
      <c r="AF52" s="5">
        <v>46002.440972222219</v>
      </c>
      <c r="AG52" s="5">
        <v>46002.440972222219</v>
      </c>
      <c r="AH52" s="5">
        <v>46007.23541666667</v>
      </c>
      <c r="AI52">
        <v>1</v>
      </c>
    </row>
    <row r="53" spans="1:35" x14ac:dyDescent="0.2">
      <c r="A53" t="s">
        <v>671</v>
      </c>
      <c r="B53" t="s">
        <v>604</v>
      </c>
      <c r="C53" t="s">
        <v>654</v>
      </c>
      <c r="D53">
        <v>342127</v>
      </c>
      <c r="E53" t="s">
        <v>606</v>
      </c>
      <c r="F53">
        <v>14796</v>
      </c>
      <c r="G53">
        <v>70690</v>
      </c>
      <c r="J53">
        <v>148841</v>
      </c>
      <c r="K53">
        <v>0</v>
      </c>
      <c r="L53">
        <v>1</v>
      </c>
      <c r="M53">
        <v>1</v>
      </c>
      <c r="N53">
        <v>657525</v>
      </c>
      <c r="O53" t="s">
        <v>607</v>
      </c>
      <c r="P53">
        <v>323256</v>
      </c>
      <c r="Q53" t="s">
        <v>655</v>
      </c>
      <c r="R53">
        <v>1</v>
      </c>
      <c r="S53" t="s">
        <v>609</v>
      </c>
      <c r="T53">
        <v>0</v>
      </c>
      <c r="U53" t="s">
        <v>610</v>
      </c>
      <c r="V53">
        <v>1265054</v>
      </c>
      <c r="X53">
        <v>1265052</v>
      </c>
      <c r="Y53">
        <v>0</v>
      </c>
      <c r="Z53" s="5">
        <v>46007.234722222223</v>
      </c>
      <c r="AA53" s="5">
        <v>46007.23541666667</v>
      </c>
      <c r="AB53">
        <v>60</v>
      </c>
      <c r="AC53">
        <v>8</v>
      </c>
      <c r="AD53">
        <v>557612</v>
      </c>
      <c r="AE53">
        <v>0</v>
      </c>
      <c r="AF53" s="5">
        <v>46002.440972222219</v>
      </c>
      <c r="AG53" s="5">
        <v>46002.440972222219</v>
      </c>
      <c r="AH53" s="5">
        <v>46007.23541666667</v>
      </c>
      <c r="AI53">
        <v>1</v>
      </c>
    </row>
    <row r="54" spans="1:35" x14ac:dyDescent="0.2">
      <c r="A54" t="s">
        <v>672</v>
      </c>
      <c r="B54" t="s">
        <v>604</v>
      </c>
      <c r="C54" t="s">
        <v>654</v>
      </c>
      <c r="D54">
        <v>342124</v>
      </c>
      <c r="E54" t="s">
        <v>606</v>
      </c>
      <c r="F54">
        <v>14796</v>
      </c>
      <c r="G54">
        <v>70690</v>
      </c>
      <c r="J54">
        <v>148838</v>
      </c>
      <c r="K54">
        <v>0</v>
      </c>
      <c r="L54">
        <v>1</v>
      </c>
      <c r="M54">
        <v>1</v>
      </c>
      <c r="N54">
        <v>652958</v>
      </c>
      <c r="O54" t="s">
        <v>607</v>
      </c>
      <c r="P54">
        <v>322117</v>
      </c>
      <c r="Q54" t="s">
        <v>673</v>
      </c>
      <c r="R54">
        <v>1</v>
      </c>
      <c r="S54" t="s">
        <v>609</v>
      </c>
      <c r="T54">
        <v>0</v>
      </c>
      <c r="U54" t="s">
        <v>610</v>
      </c>
      <c r="V54">
        <v>1260594</v>
      </c>
      <c r="X54">
        <v>1260592</v>
      </c>
      <c r="Y54">
        <v>0</v>
      </c>
      <c r="Z54" s="5">
        <v>46007.248611111114</v>
      </c>
      <c r="AA54" s="5">
        <v>46007.248611111114</v>
      </c>
      <c r="AB54">
        <v>34</v>
      </c>
      <c r="AC54">
        <v>1</v>
      </c>
      <c r="AD54">
        <v>557612</v>
      </c>
      <c r="AE54">
        <v>0</v>
      </c>
      <c r="AF54" s="5">
        <v>46002.440972222219</v>
      </c>
      <c r="AG54" s="5">
        <v>46002.440972222219</v>
      </c>
      <c r="AH54" s="5">
        <v>46007.248611111114</v>
      </c>
      <c r="AI54">
        <v>1</v>
      </c>
    </row>
    <row r="55" spans="1:35" x14ac:dyDescent="0.2">
      <c r="A55" t="s">
        <v>674</v>
      </c>
      <c r="B55" t="s">
        <v>604</v>
      </c>
      <c r="C55" t="s">
        <v>654</v>
      </c>
      <c r="D55">
        <v>342124</v>
      </c>
      <c r="E55" t="s">
        <v>606</v>
      </c>
      <c r="F55">
        <v>14796</v>
      </c>
      <c r="G55">
        <v>70690</v>
      </c>
      <c r="J55">
        <v>148838</v>
      </c>
      <c r="K55">
        <v>0</v>
      </c>
      <c r="L55">
        <v>0</v>
      </c>
      <c r="M55">
        <v>0</v>
      </c>
      <c r="N55">
        <v>652938</v>
      </c>
      <c r="O55" t="s">
        <v>607</v>
      </c>
      <c r="P55">
        <v>322117</v>
      </c>
      <c r="Q55" t="s">
        <v>673</v>
      </c>
      <c r="R55">
        <v>1</v>
      </c>
      <c r="S55" t="s">
        <v>609</v>
      </c>
      <c r="T55">
        <v>0</v>
      </c>
      <c r="U55" t="s">
        <v>610</v>
      </c>
      <c r="V55">
        <v>-1</v>
      </c>
      <c r="X55">
        <v>1260592</v>
      </c>
      <c r="Z55" s="5">
        <v>46007.248611111114</v>
      </c>
      <c r="AA55" s="5">
        <v>46007.248611111114</v>
      </c>
      <c r="AC55">
        <v>0</v>
      </c>
      <c r="AD55">
        <v>557612</v>
      </c>
      <c r="AE55">
        <v>0</v>
      </c>
      <c r="AF55" s="5">
        <v>46002.440972222219</v>
      </c>
      <c r="AG55" s="5">
        <v>46002.440972222219</v>
      </c>
      <c r="AI55">
        <v>1</v>
      </c>
    </row>
    <row r="56" spans="1:35" x14ac:dyDescent="0.2">
      <c r="A56" t="s">
        <v>675</v>
      </c>
      <c r="B56" t="s">
        <v>604</v>
      </c>
      <c r="C56" t="s">
        <v>654</v>
      </c>
      <c r="D56">
        <v>342124</v>
      </c>
      <c r="E56" t="s">
        <v>606</v>
      </c>
      <c r="F56">
        <v>14796</v>
      </c>
      <c r="G56">
        <v>70690</v>
      </c>
      <c r="J56">
        <v>148838</v>
      </c>
      <c r="K56">
        <v>0</v>
      </c>
      <c r="L56">
        <v>1</v>
      </c>
      <c r="M56">
        <v>1</v>
      </c>
      <c r="N56">
        <v>657525</v>
      </c>
      <c r="O56" t="s">
        <v>607</v>
      </c>
      <c r="P56">
        <v>322117</v>
      </c>
      <c r="Q56" t="s">
        <v>673</v>
      </c>
      <c r="R56">
        <v>1</v>
      </c>
      <c r="S56" t="s">
        <v>609</v>
      </c>
      <c r="T56">
        <v>0</v>
      </c>
      <c r="U56" t="s">
        <v>610</v>
      </c>
      <c r="V56">
        <v>1260593</v>
      </c>
      <c r="X56">
        <v>1260592</v>
      </c>
      <c r="Y56">
        <v>0</v>
      </c>
      <c r="Z56" s="5">
        <v>46007.248611111114</v>
      </c>
      <c r="AA56" s="5">
        <v>46007.248611111114</v>
      </c>
      <c r="AB56">
        <v>60</v>
      </c>
      <c r="AC56">
        <v>1</v>
      </c>
      <c r="AD56">
        <v>557612</v>
      </c>
      <c r="AE56">
        <v>0</v>
      </c>
      <c r="AF56" s="5">
        <v>46002.440972222219</v>
      </c>
      <c r="AG56" s="5">
        <v>46002.440972222219</v>
      </c>
      <c r="AH56" s="5">
        <v>46007.248611111114</v>
      </c>
      <c r="AI56">
        <v>1</v>
      </c>
    </row>
    <row r="57" spans="1:35" x14ac:dyDescent="0.2">
      <c r="A57" t="s">
        <v>676</v>
      </c>
      <c r="B57" t="s">
        <v>604</v>
      </c>
      <c r="C57" t="s">
        <v>654</v>
      </c>
      <c r="D57">
        <v>342124</v>
      </c>
      <c r="E57" t="s">
        <v>606</v>
      </c>
      <c r="F57">
        <v>14796</v>
      </c>
      <c r="G57">
        <v>70690</v>
      </c>
      <c r="J57">
        <v>148838</v>
      </c>
      <c r="K57">
        <v>0</v>
      </c>
      <c r="L57">
        <v>1</v>
      </c>
      <c r="M57">
        <v>1</v>
      </c>
      <c r="N57">
        <v>648959</v>
      </c>
      <c r="O57" t="s">
        <v>607</v>
      </c>
      <c r="P57">
        <v>322117</v>
      </c>
      <c r="Q57" t="s">
        <v>673</v>
      </c>
      <c r="R57">
        <v>1</v>
      </c>
      <c r="S57" t="s">
        <v>609</v>
      </c>
      <c r="T57">
        <v>0</v>
      </c>
      <c r="U57" t="s">
        <v>610</v>
      </c>
      <c r="V57">
        <v>1260592</v>
      </c>
      <c r="X57">
        <v>1260592</v>
      </c>
      <c r="Y57">
        <v>1</v>
      </c>
      <c r="Z57" s="5">
        <v>46007.248611111114</v>
      </c>
      <c r="AA57" s="5">
        <v>46007.248611111114</v>
      </c>
      <c r="AB57">
        <v>60</v>
      </c>
      <c r="AC57">
        <v>1</v>
      </c>
      <c r="AD57">
        <v>557612</v>
      </c>
      <c r="AE57">
        <v>0</v>
      </c>
      <c r="AF57" s="5">
        <v>46002.440972222219</v>
      </c>
      <c r="AG57" s="5">
        <v>46002.440972222219</v>
      </c>
      <c r="AH57" s="5">
        <v>46007.248611111114</v>
      </c>
      <c r="AI57">
        <v>1</v>
      </c>
    </row>
    <row r="58" spans="1:35" x14ac:dyDescent="0.2">
      <c r="A58" t="s">
        <v>677</v>
      </c>
      <c r="B58" t="s">
        <v>604</v>
      </c>
      <c r="C58" t="s">
        <v>654</v>
      </c>
      <c r="D58">
        <v>342124</v>
      </c>
      <c r="E58" t="s">
        <v>606</v>
      </c>
      <c r="F58">
        <v>14796</v>
      </c>
      <c r="G58">
        <v>70690</v>
      </c>
      <c r="J58">
        <v>148838</v>
      </c>
      <c r="K58">
        <v>0</v>
      </c>
      <c r="L58">
        <v>0</v>
      </c>
      <c r="M58">
        <v>0</v>
      </c>
      <c r="N58">
        <v>647295</v>
      </c>
      <c r="O58" t="s">
        <v>607</v>
      </c>
      <c r="P58">
        <v>322117</v>
      </c>
      <c r="Q58" t="s">
        <v>673</v>
      </c>
      <c r="R58">
        <v>1</v>
      </c>
      <c r="S58" t="s">
        <v>609</v>
      </c>
      <c r="T58">
        <v>0</v>
      </c>
      <c r="U58" t="s">
        <v>610</v>
      </c>
      <c r="V58">
        <v>-1</v>
      </c>
      <c r="X58">
        <v>1260592</v>
      </c>
      <c r="Z58" s="5">
        <v>46007.248611111114</v>
      </c>
      <c r="AA58" s="5">
        <v>46007.248611111114</v>
      </c>
      <c r="AC58">
        <v>0</v>
      </c>
      <c r="AD58">
        <v>557612</v>
      </c>
      <c r="AE58">
        <v>0</v>
      </c>
      <c r="AF58" s="5">
        <v>46002.440972222219</v>
      </c>
      <c r="AG58" s="5">
        <v>46002.440972222219</v>
      </c>
      <c r="AI58">
        <v>1</v>
      </c>
    </row>
    <row r="59" spans="1:35" x14ac:dyDescent="0.2">
      <c r="A59" t="s">
        <v>678</v>
      </c>
      <c r="B59" t="s">
        <v>604</v>
      </c>
      <c r="C59" t="s">
        <v>654</v>
      </c>
      <c r="D59">
        <v>342124</v>
      </c>
      <c r="E59" t="s">
        <v>606</v>
      </c>
      <c r="F59">
        <v>14796</v>
      </c>
      <c r="G59">
        <v>70690</v>
      </c>
      <c r="J59">
        <v>148838</v>
      </c>
      <c r="K59">
        <v>0</v>
      </c>
      <c r="L59">
        <v>1</v>
      </c>
      <c r="M59">
        <v>1</v>
      </c>
      <c r="N59">
        <v>647306</v>
      </c>
      <c r="O59" t="s">
        <v>607</v>
      </c>
      <c r="P59">
        <v>322117</v>
      </c>
      <c r="Q59" t="s">
        <v>673</v>
      </c>
      <c r="R59">
        <v>1</v>
      </c>
      <c r="S59" t="s">
        <v>609</v>
      </c>
      <c r="T59">
        <v>0</v>
      </c>
      <c r="U59" t="s">
        <v>610</v>
      </c>
      <c r="V59">
        <v>1260592</v>
      </c>
      <c r="X59">
        <v>1260592</v>
      </c>
      <c r="Y59">
        <v>1</v>
      </c>
      <c r="Z59" s="5">
        <v>46007.248611111114</v>
      </c>
      <c r="AA59" s="5">
        <v>46007.248611111114</v>
      </c>
      <c r="AB59">
        <v>60</v>
      </c>
      <c r="AC59">
        <v>2</v>
      </c>
      <c r="AD59">
        <v>557612</v>
      </c>
      <c r="AE59">
        <v>0</v>
      </c>
      <c r="AF59" s="5">
        <v>46002.440972222219</v>
      </c>
      <c r="AG59" s="5">
        <v>46002.440972222219</v>
      </c>
      <c r="AH59" s="5">
        <v>46007.248611111114</v>
      </c>
      <c r="AI59">
        <v>1</v>
      </c>
    </row>
    <row r="60" spans="1:35" x14ac:dyDescent="0.2">
      <c r="A60" t="s">
        <v>679</v>
      </c>
      <c r="B60" t="s">
        <v>604</v>
      </c>
      <c r="C60" t="s">
        <v>654</v>
      </c>
      <c r="D60">
        <v>342124</v>
      </c>
      <c r="E60" t="s">
        <v>606</v>
      </c>
      <c r="F60">
        <v>14796</v>
      </c>
      <c r="G60">
        <v>70690</v>
      </c>
      <c r="J60">
        <v>148838</v>
      </c>
      <c r="K60">
        <v>0</v>
      </c>
      <c r="L60">
        <v>1</v>
      </c>
      <c r="M60">
        <v>1</v>
      </c>
      <c r="N60">
        <v>647426</v>
      </c>
      <c r="O60" t="s">
        <v>607</v>
      </c>
      <c r="P60">
        <v>322117</v>
      </c>
      <c r="Q60" t="s">
        <v>673</v>
      </c>
      <c r="R60">
        <v>1</v>
      </c>
      <c r="S60" t="s">
        <v>609</v>
      </c>
      <c r="T60">
        <v>0</v>
      </c>
      <c r="U60" t="s">
        <v>610</v>
      </c>
      <c r="V60">
        <v>1260592</v>
      </c>
      <c r="X60">
        <v>1260592</v>
      </c>
      <c r="Y60">
        <v>1</v>
      </c>
      <c r="Z60" s="5">
        <v>46007.248611111114</v>
      </c>
      <c r="AA60" s="5">
        <v>46007.248611111114</v>
      </c>
      <c r="AB60">
        <v>60</v>
      </c>
      <c r="AC60">
        <v>1</v>
      </c>
      <c r="AD60">
        <v>557612</v>
      </c>
      <c r="AE60">
        <v>0</v>
      </c>
      <c r="AF60" s="5">
        <v>46002.440972222219</v>
      </c>
      <c r="AG60" s="5">
        <v>46002.440972222219</v>
      </c>
      <c r="AH60" s="5">
        <v>46007.248611111114</v>
      </c>
      <c r="AI60">
        <v>1</v>
      </c>
    </row>
    <row r="61" spans="1:35" x14ac:dyDescent="0.2">
      <c r="A61" t="s">
        <v>680</v>
      </c>
      <c r="B61" t="s">
        <v>604</v>
      </c>
      <c r="C61" t="s">
        <v>654</v>
      </c>
      <c r="D61">
        <v>342124</v>
      </c>
      <c r="E61" t="s">
        <v>606</v>
      </c>
      <c r="F61">
        <v>14796</v>
      </c>
      <c r="G61">
        <v>70690</v>
      </c>
      <c r="J61">
        <v>148838</v>
      </c>
      <c r="K61">
        <v>0</v>
      </c>
      <c r="L61">
        <v>1</v>
      </c>
      <c r="M61">
        <v>1</v>
      </c>
      <c r="N61">
        <v>647411</v>
      </c>
      <c r="O61" t="s">
        <v>607</v>
      </c>
      <c r="P61">
        <v>322117</v>
      </c>
      <c r="Q61" t="s">
        <v>673</v>
      </c>
      <c r="R61">
        <v>1</v>
      </c>
      <c r="S61" t="s">
        <v>609</v>
      </c>
      <c r="T61">
        <v>0</v>
      </c>
      <c r="U61" t="s">
        <v>610</v>
      </c>
      <c r="V61">
        <v>1260592</v>
      </c>
      <c r="X61">
        <v>1260592</v>
      </c>
      <c r="Y61">
        <v>1</v>
      </c>
      <c r="Z61" s="5">
        <v>46007.248611111114</v>
      </c>
      <c r="AA61" s="5">
        <v>46007.248611111114</v>
      </c>
      <c r="AB61">
        <v>60</v>
      </c>
      <c r="AC61">
        <v>1</v>
      </c>
      <c r="AD61">
        <v>557612</v>
      </c>
      <c r="AE61">
        <v>0</v>
      </c>
      <c r="AF61" s="5">
        <v>46002.440972222219</v>
      </c>
      <c r="AG61" s="5">
        <v>46002.440972222219</v>
      </c>
      <c r="AH61" s="5">
        <v>46007.248611111114</v>
      </c>
      <c r="AI61">
        <v>1</v>
      </c>
    </row>
    <row r="62" spans="1:35" x14ac:dyDescent="0.2">
      <c r="A62" t="s">
        <v>681</v>
      </c>
      <c r="B62" t="s">
        <v>604</v>
      </c>
      <c r="C62" t="s">
        <v>654</v>
      </c>
      <c r="D62">
        <v>342124</v>
      </c>
      <c r="E62" t="s">
        <v>606</v>
      </c>
      <c r="F62">
        <v>14796</v>
      </c>
      <c r="G62">
        <v>70690</v>
      </c>
      <c r="J62">
        <v>148838</v>
      </c>
      <c r="K62">
        <v>0</v>
      </c>
      <c r="L62">
        <v>1</v>
      </c>
      <c r="M62">
        <v>1</v>
      </c>
      <c r="N62">
        <v>651452</v>
      </c>
      <c r="O62" t="s">
        <v>607</v>
      </c>
      <c r="P62">
        <v>322117</v>
      </c>
      <c r="Q62" t="s">
        <v>673</v>
      </c>
      <c r="R62">
        <v>1</v>
      </c>
      <c r="S62" t="s">
        <v>609</v>
      </c>
      <c r="T62">
        <v>0</v>
      </c>
      <c r="U62" t="s">
        <v>610</v>
      </c>
      <c r="V62">
        <v>1260592</v>
      </c>
      <c r="X62">
        <v>1260592</v>
      </c>
      <c r="Y62">
        <v>1</v>
      </c>
      <c r="Z62" s="5">
        <v>46007.248611111114</v>
      </c>
      <c r="AA62" s="5">
        <v>46007.248611111114</v>
      </c>
      <c r="AB62">
        <v>60</v>
      </c>
      <c r="AC62">
        <v>1</v>
      </c>
      <c r="AD62">
        <v>557612</v>
      </c>
      <c r="AE62">
        <v>0</v>
      </c>
      <c r="AF62" s="5">
        <v>46002.440972222219</v>
      </c>
      <c r="AG62" s="5">
        <v>46002.440972222219</v>
      </c>
      <c r="AH62" s="5">
        <v>46007.248611111114</v>
      </c>
      <c r="AI62">
        <v>1</v>
      </c>
    </row>
    <row r="63" spans="1:35" x14ac:dyDescent="0.2">
      <c r="A63" t="s">
        <v>682</v>
      </c>
      <c r="B63" t="s">
        <v>604</v>
      </c>
      <c r="C63" t="s">
        <v>654</v>
      </c>
      <c r="D63">
        <v>342124</v>
      </c>
      <c r="E63" t="s">
        <v>606</v>
      </c>
      <c r="F63">
        <v>14796</v>
      </c>
      <c r="G63">
        <v>70690</v>
      </c>
      <c r="J63">
        <v>148838</v>
      </c>
      <c r="K63">
        <v>0</v>
      </c>
      <c r="L63">
        <v>0</v>
      </c>
      <c r="M63">
        <v>0</v>
      </c>
      <c r="N63">
        <v>652929</v>
      </c>
      <c r="O63" t="s">
        <v>607</v>
      </c>
      <c r="P63">
        <v>322117</v>
      </c>
      <c r="Q63" t="s">
        <v>673</v>
      </c>
      <c r="R63">
        <v>1</v>
      </c>
      <c r="S63" t="s">
        <v>609</v>
      </c>
      <c r="T63">
        <v>0</v>
      </c>
      <c r="U63" t="s">
        <v>610</v>
      </c>
      <c r="V63">
        <v>-1</v>
      </c>
      <c r="X63">
        <v>1260592</v>
      </c>
      <c r="Z63" s="5">
        <v>46007.248611111114</v>
      </c>
      <c r="AA63" s="5">
        <v>46007.248611111114</v>
      </c>
      <c r="AC63">
        <v>0</v>
      </c>
      <c r="AD63">
        <v>557612</v>
      </c>
      <c r="AE63">
        <v>0</v>
      </c>
      <c r="AF63" s="5">
        <v>46002.440972222219</v>
      </c>
      <c r="AG63" s="5">
        <v>46002.440972222219</v>
      </c>
      <c r="AI63">
        <v>1</v>
      </c>
    </row>
    <row r="64" spans="1:35" x14ac:dyDescent="0.2">
      <c r="A64" t="s">
        <v>683</v>
      </c>
      <c r="B64" t="s">
        <v>604</v>
      </c>
      <c r="C64" t="s">
        <v>654</v>
      </c>
      <c r="D64">
        <v>342124</v>
      </c>
      <c r="E64" t="s">
        <v>606</v>
      </c>
      <c r="F64">
        <v>14796</v>
      </c>
      <c r="G64">
        <v>70690</v>
      </c>
      <c r="J64">
        <v>148838</v>
      </c>
      <c r="K64">
        <v>0</v>
      </c>
      <c r="L64">
        <v>1</v>
      </c>
      <c r="M64">
        <v>1</v>
      </c>
      <c r="N64">
        <v>647499</v>
      </c>
      <c r="O64" t="s">
        <v>607</v>
      </c>
      <c r="P64">
        <v>322117</v>
      </c>
      <c r="Q64" t="s">
        <v>673</v>
      </c>
      <c r="R64">
        <v>1</v>
      </c>
      <c r="S64" t="s">
        <v>609</v>
      </c>
      <c r="T64">
        <v>0</v>
      </c>
      <c r="U64" t="s">
        <v>610</v>
      </c>
      <c r="V64">
        <v>1260592</v>
      </c>
      <c r="X64">
        <v>1260592</v>
      </c>
      <c r="Y64">
        <v>1</v>
      </c>
      <c r="Z64" s="5">
        <v>46007.248611111114</v>
      </c>
      <c r="AA64" s="5">
        <v>46007.248611111114</v>
      </c>
      <c r="AB64">
        <v>60</v>
      </c>
      <c r="AC64">
        <v>1</v>
      </c>
      <c r="AD64">
        <v>557612</v>
      </c>
      <c r="AE64">
        <v>0</v>
      </c>
      <c r="AF64" s="5">
        <v>46002.440972222219</v>
      </c>
      <c r="AG64" s="5">
        <v>46002.440972222219</v>
      </c>
      <c r="AH64" s="5">
        <v>46007.248611111114</v>
      </c>
      <c r="AI64">
        <v>1</v>
      </c>
    </row>
    <row r="65" spans="1:35" x14ac:dyDescent="0.2">
      <c r="A65" t="s">
        <v>684</v>
      </c>
      <c r="B65" t="s">
        <v>604</v>
      </c>
      <c r="C65" t="s">
        <v>654</v>
      </c>
      <c r="D65">
        <v>342124</v>
      </c>
      <c r="E65" t="s">
        <v>606</v>
      </c>
      <c r="F65">
        <v>14796</v>
      </c>
      <c r="G65">
        <v>70690</v>
      </c>
      <c r="J65">
        <v>148838</v>
      </c>
      <c r="K65">
        <v>0</v>
      </c>
      <c r="L65">
        <v>0</v>
      </c>
      <c r="M65">
        <v>0</v>
      </c>
      <c r="N65">
        <v>648986</v>
      </c>
      <c r="O65" t="s">
        <v>607</v>
      </c>
      <c r="P65">
        <v>322117</v>
      </c>
      <c r="Q65" t="s">
        <v>673</v>
      </c>
      <c r="R65">
        <v>1</v>
      </c>
      <c r="S65" t="s">
        <v>609</v>
      </c>
      <c r="T65">
        <v>0</v>
      </c>
      <c r="U65" t="s">
        <v>610</v>
      </c>
      <c r="V65">
        <v>-1</v>
      </c>
      <c r="X65">
        <v>1260592</v>
      </c>
      <c r="Z65" s="5">
        <v>46007.248611111114</v>
      </c>
      <c r="AA65" s="5">
        <v>46007.248611111114</v>
      </c>
      <c r="AC65">
        <v>0</v>
      </c>
      <c r="AD65">
        <v>557612</v>
      </c>
      <c r="AE65">
        <v>0</v>
      </c>
      <c r="AF65" s="5">
        <v>46002.440972222219</v>
      </c>
      <c r="AG65" s="5">
        <v>46002.440972222219</v>
      </c>
      <c r="AI65">
        <v>1</v>
      </c>
    </row>
    <row r="66" spans="1:35" x14ac:dyDescent="0.2">
      <c r="A66" t="s">
        <v>685</v>
      </c>
      <c r="B66" t="s">
        <v>604</v>
      </c>
      <c r="C66" t="s">
        <v>654</v>
      </c>
      <c r="D66">
        <v>342124</v>
      </c>
      <c r="E66" t="s">
        <v>606</v>
      </c>
      <c r="F66">
        <v>14796</v>
      </c>
      <c r="G66">
        <v>70690</v>
      </c>
      <c r="J66">
        <v>148838</v>
      </c>
      <c r="K66">
        <v>0</v>
      </c>
      <c r="L66">
        <v>1</v>
      </c>
      <c r="M66">
        <v>1</v>
      </c>
      <c r="N66">
        <v>652940</v>
      </c>
      <c r="O66" t="s">
        <v>607</v>
      </c>
      <c r="P66">
        <v>322117</v>
      </c>
      <c r="Q66" t="s">
        <v>673</v>
      </c>
      <c r="R66">
        <v>1</v>
      </c>
      <c r="S66" t="s">
        <v>609</v>
      </c>
      <c r="T66">
        <v>0</v>
      </c>
      <c r="U66" t="s">
        <v>610</v>
      </c>
      <c r="V66">
        <v>1260594</v>
      </c>
      <c r="X66">
        <v>1260592</v>
      </c>
      <c r="Y66">
        <v>0</v>
      </c>
      <c r="Z66" s="5">
        <v>46007.248611111114</v>
      </c>
      <c r="AA66" s="5">
        <v>46007.248611111114</v>
      </c>
      <c r="AB66">
        <v>60</v>
      </c>
      <c r="AC66">
        <v>1</v>
      </c>
      <c r="AD66">
        <v>557612</v>
      </c>
      <c r="AE66">
        <v>0</v>
      </c>
      <c r="AF66" s="5">
        <v>46002.440972222219</v>
      </c>
      <c r="AG66" s="5">
        <v>46002.440972222219</v>
      </c>
      <c r="AH66" s="5">
        <v>46007.248611111114</v>
      </c>
      <c r="AI66">
        <v>1</v>
      </c>
    </row>
    <row r="67" spans="1:35" x14ac:dyDescent="0.2">
      <c r="A67" t="s">
        <v>686</v>
      </c>
      <c r="B67" t="s">
        <v>604</v>
      </c>
      <c r="C67" t="s">
        <v>654</v>
      </c>
      <c r="D67">
        <v>342124</v>
      </c>
      <c r="E67" t="s">
        <v>606</v>
      </c>
      <c r="F67">
        <v>14796</v>
      </c>
      <c r="G67">
        <v>70690</v>
      </c>
      <c r="J67">
        <v>148838</v>
      </c>
      <c r="K67">
        <v>0</v>
      </c>
      <c r="L67">
        <v>1</v>
      </c>
      <c r="M67">
        <v>1</v>
      </c>
      <c r="N67">
        <v>647748</v>
      </c>
      <c r="O67" t="s">
        <v>607</v>
      </c>
      <c r="P67">
        <v>322117</v>
      </c>
      <c r="Q67" t="s">
        <v>673</v>
      </c>
      <c r="R67">
        <v>1</v>
      </c>
      <c r="S67" t="s">
        <v>609</v>
      </c>
      <c r="T67">
        <v>0</v>
      </c>
      <c r="U67" t="s">
        <v>610</v>
      </c>
      <c r="V67">
        <v>1260592</v>
      </c>
      <c r="X67">
        <v>1260592</v>
      </c>
      <c r="Y67">
        <v>1</v>
      </c>
      <c r="Z67" s="5">
        <v>46007.248611111114</v>
      </c>
      <c r="AA67" s="5">
        <v>46007.249305555553</v>
      </c>
      <c r="AB67">
        <v>60</v>
      </c>
      <c r="AC67">
        <v>2</v>
      </c>
      <c r="AD67">
        <v>557612</v>
      </c>
      <c r="AE67">
        <v>0</v>
      </c>
      <c r="AF67" s="5">
        <v>46002.440972222219</v>
      </c>
      <c r="AG67" s="5">
        <v>46002.440972222219</v>
      </c>
      <c r="AH67" s="5">
        <v>46007.249305555553</v>
      </c>
      <c r="AI67">
        <v>1</v>
      </c>
    </row>
    <row r="68" spans="1:35" x14ac:dyDescent="0.2">
      <c r="A68" t="s">
        <v>687</v>
      </c>
      <c r="B68" t="s">
        <v>604</v>
      </c>
      <c r="C68" t="s">
        <v>654</v>
      </c>
      <c r="D68">
        <v>342124</v>
      </c>
      <c r="E68" t="s">
        <v>606</v>
      </c>
      <c r="F68">
        <v>14796</v>
      </c>
      <c r="G68">
        <v>70690</v>
      </c>
      <c r="J68">
        <v>148838</v>
      </c>
      <c r="K68">
        <v>0</v>
      </c>
      <c r="L68">
        <v>0</v>
      </c>
      <c r="M68">
        <v>0</v>
      </c>
      <c r="N68">
        <v>647504</v>
      </c>
      <c r="O68" t="s">
        <v>607</v>
      </c>
      <c r="P68">
        <v>322117</v>
      </c>
      <c r="Q68" t="s">
        <v>673</v>
      </c>
      <c r="R68">
        <v>1</v>
      </c>
      <c r="S68" t="s">
        <v>609</v>
      </c>
      <c r="T68">
        <v>0</v>
      </c>
      <c r="U68" t="s">
        <v>610</v>
      </c>
      <c r="V68">
        <v>-1</v>
      </c>
      <c r="X68">
        <v>1260592</v>
      </c>
      <c r="Z68" s="5">
        <v>46007.248611111114</v>
      </c>
      <c r="AA68" s="5">
        <v>46007.248611111114</v>
      </c>
      <c r="AC68">
        <v>0</v>
      </c>
      <c r="AD68">
        <v>557612</v>
      </c>
      <c r="AE68">
        <v>0</v>
      </c>
      <c r="AF68" s="5">
        <v>46002.440972222219</v>
      </c>
      <c r="AG68" s="5">
        <v>46002.440972222219</v>
      </c>
      <c r="AI68">
        <v>1</v>
      </c>
    </row>
    <row r="69" spans="1:35" x14ac:dyDescent="0.2">
      <c r="A69" t="s">
        <v>688</v>
      </c>
      <c r="B69" t="s">
        <v>604</v>
      </c>
      <c r="C69" t="s">
        <v>654</v>
      </c>
      <c r="D69">
        <v>342124</v>
      </c>
      <c r="E69" t="s">
        <v>606</v>
      </c>
      <c r="F69">
        <v>14796</v>
      </c>
      <c r="G69">
        <v>70690</v>
      </c>
      <c r="J69">
        <v>148838</v>
      </c>
      <c r="K69">
        <v>0</v>
      </c>
      <c r="L69">
        <v>1</v>
      </c>
      <c r="M69">
        <v>1</v>
      </c>
      <c r="N69">
        <v>647404</v>
      </c>
      <c r="O69" t="s">
        <v>607</v>
      </c>
      <c r="P69">
        <v>322117</v>
      </c>
      <c r="Q69" t="s">
        <v>673</v>
      </c>
      <c r="R69">
        <v>1</v>
      </c>
      <c r="S69" t="s">
        <v>609</v>
      </c>
      <c r="T69">
        <v>0</v>
      </c>
      <c r="U69" t="s">
        <v>610</v>
      </c>
      <c r="V69">
        <v>1260592</v>
      </c>
      <c r="X69">
        <v>1260592</v>
      </c>
      <c r="Y69">
        <v>1</v>
      </c>
      <c r="Z69" s="5">
        <v>46007.248611111114</v>
      </c>
      <c r="AA69" s="5">
        <v>46007.248611111114</v>
      </c>
      <c r="AB69">
        <v>60</v>
      </c>
      <c r="AC69">
        <v>1</v>
      </c>
      <c r="AD69">
        <v>557612</v>
      </c>
      <c r="AE69">
        <v>0</v>
      </c>
      <c r="AF69" s="5">
        <v>46002.440972222219</v>
      </c>
      <c r="AG69" s="5">
        <v>46002.440972222219</v>
      </c>
      <c r="AH69" s="5">
        <v>46007.248611111114</v>
      </c>
      <c r="AI69">
        <v>1</v>
      </c>
    </row>
    <row r="70" spans="1:35" x14ac:dyDescent="0.2">
      <c r="A70" t="s">
        <v>689</v>
      </c>
      <c r="B70" t="s">
        <v>604</v>
      </c>
      <c r="C70" t="s">
        <v>654</v>
      </c>
      <c r="D70">
        <v>342124</v>
      </c>
      <c r="E70" t="s">
        <v>606</v>
      </c>
      <c r="F70">
        <v>14796</v>
      </c>
      <c r="G70">
        <v>70690</v>
      </c>
      <c r="J70">
        <v>148838</v>
      </c>
      <c r="K70">
        <v>0</v>
      </c>
      <c r="L70">
        <v>0</v>
      </c>
      <c r="M70">
        <v>0</v>
      </c>
      <c r="N70">
        <v>652934</v>
      </c>
      <c r="O70" t="s">
        <v>607</v>
      </c>
      <c r="P70">
        <v>322117</v>
      </c>
      <c r="Q70" t="s">
        <v>673</v>
      </c>
      <c r="R70">
        <v>1</v>
      </c>
      <c r="S70" t="s">
        <v>609</v>
      </c>
      <c r="T70">
        <v>0</v>
      </c>
      <c r="U70" t="s">
        <v>610</v>
      </c>
      <c r="V70">
        <v>-1</v>
      </c>
      <c r="X70">
        <v>1260592</v>
      </c>
      <c r="Z70" s="5">
        <v>46007.248611111114</v>
      </c>
      <c r="AA70" s="5">
        <v>46007.248611111114</v>
      </c>
      <c r="AC70">
        <v>0</v>
      </c>
      <c r="AD70">
        <v>557612</v>
      </c>
      <c r="AE70">
        <v>0</v>
      </c>
      <c r="AF70" s="5">
        <v>46002.440972222219</v>
      </c>
      <c r="AG70" s="5">
        <v>46002.440972222219</v>
      </c>
      <c r="AI70">
        <v>1</v>
      </c>
    </row>
    <row r="71" spans="1:35" x14ac:dyDescent="0.2">
      <c r="A71" t="s">
        <v>690</v>
      </c>
      <c r="B71" t="s">
        <v>604</v>
      </c>
      <c r="C71" t="s">
        <v>654</v>
      </c>
      <c r="D71">
        <v>342124</v>
      </c>
      <c r="E71" t="s">
        <v>606</v>
      </c>
      <c r="F71">
        <v>14796</v>
      </c>
      <c r="G71">
        <v>70690</v>
      </c>
      <c r="J71">
        <v>148838</v>
      </c>
      <c r="K71">
        <v>0</v>
      </c>
      <c r="L71">
        <v>1</v>
      </c>
      <c r="M71">
        <v>1</v>
      </c>
      <c r="N71">
        <v>647433</v>
      </c>
      <c r="O71" t="s">
        <v>607</v>
      </c>
      <c r="P71">
        <v>322117</v>
      </c>
      <c r="Q71" t="s">
        <v>673</v>
      </c>
      <c r="R71">
        <v>1</v>
      </c>
      <c r="S71" t="s">
        <v>609</v>
      </c>
      <c r="T71">
        <v>0</v>
      </c>
      <c r="U71" t="s">
        <v>610</v>
      </c>
      <c r="V71">
        <v>1260594</v>
      </c>
      <c r="X71">
        <v>1260592</v>
      </c>
      <c r="Y71">
        <v>0</v>
      </c>
      <c r="Z71" s="5">
        <v>46007.248611111114</v>
      </c>
      <c r="AA71" s="5">
        <v>46007.248611111114</v>
      </c>
      <c r="AB71">
        <v>60</v>
      </c>
      <c r="AC71">
        <v>1</v>
      </c>
      <c r="AD71">
        <v>557612</v>
      </c>
      <c r="AE71">
        <v>0</v>
      </c>
      <c r="AF71" s="5">
        <v>46002.440972222219</v>
      </c>
      <c r="AG71" s="5">
        <v>46002.440972222219</v>
      </c>
      <c r="AH71" s="5">
        <v>46007.248611111114</v>
      </c>
      <c r="AI71">
        <v>1</v>
      </c>
    </row>
    <row r="72" spans="1:35" x14ac:dyDescent="0.2">
      <c r="A72" t="s">
        <v>691</v>
      </c>
      <c r="B72" t="s">
        <v>604</v>
      </c>
      <c r="C72" t="s">
        <v>654</v>
      </c>
      <c r="D72">
        <v>342124</v>
      </c>
      <c r="E72" t="s">
        <v>606</v>
      </c>
      <c r="F72">
        <v>14796</v>
      </c>
      <c r="G72">
        <v>70690</v>
      </c>
      <c r="J72">
        <v>148838</v>
      </c>
      <c r="K72">
        <v>0</v>
      </c>
      <c r="L72">
        <v>1</v>
      </c>
      <c r="M72">
        <v>1</v>
      </c>
      <c r="N72">
        <v>647496</v>
      </c>
      <c r="O72" t="s">
        <v>607</v>
      </c>
      <c r="P72">
        <v>322117</v>
      </c>
      <c r="Q72" t="s">
        <v>673</v>
      </c>
      <c r="R72">
        <v>1</v>
      </c>
      <c r="S72" t="s">
        <v>609</v>
      </c>
      <c r="T72">
        <v>0</v>
      </c>
      <c r="U72" t="s">
        <v>610</v>
      </c>
      <c r="V72">
        <v>1260592</v>
      </c>
      <c r="X72">
        <v>1260592</v>
      </c>
      <c r="Y72">
        <v>1</v>
      </c>
      <c r="Z72" s="5">
        <v>46007.248611111114</v>
      </c>
      <c r="AA72" s="5">
        <v>46007.249305555553</v>
      </c>
      <c r="AB72">
        <v>60</v>
      </c>
      <c r="AC72">
        <v>2</v>
      </c>
      <c r="AD72">
        <v>557612</v>
      </c>
      <c r="AE72">
        <v>0</v>
      </c>
      <c r="AF72" s="5">
        <v>46002.440972222219</v>
      </c>
      <c r="AG72" s="5">
        <v>46002.440972222219</v>
      </c>
      <c r="AH72" s="5">
        <v>46007.249305555553</v>
      </c>
      <c r="AI72">
        <v>1</v>
      </c>
    </row>
    <row r="73" spans="1:35" x14ac:dyDescent="0.2">
      <c r="A73" t="s">
        <v>692</v>
      </c>
      <c r="B73" t="s">
        <v>604</v>
      </c>
      <c r="C73" t="s">
        <v>654</v>
      </c>
      <c r="D73">
        <v>342124</v>
      </c>
      <c r="E73" t="s">
        <v>606</v>
      </c>
      <c r="F73">
        <v>14796</v>
      </c>
      <c r="G73">
        <v>70690</v>
      </c>
      <c r="J73">
        <v>148838</v>
      </c>
      <c r="K73">
        <v>0</v>
      </c>
      <c r="L73">
        <v>1</v>
      </c>
      <c r="M73">
        <v>1</v>
      </c>
      <c r="N73">
        <v>648953</v>
      </c>
      <c r="O73" t="s">
        <v>607</v>
      </c>
      <c r="P73">
        <v>322117</v>
      </c>
      <c r="Q73" t="s">
        <v>673</v>
      </c>
      <c r="R73">
        <v>1</v>
      </c>
      <c r="S73" t="s">
        <v>609</v>
      </c>
      <c r="T73">
        <v>0</v>
      </c>
      <c r="U73" t="s">
        <v>610</v>
      </c>
      <c r="V73">
        <v>1260592</v>
      </c>
      <c r="X73">
        <v>1260592</v>
      </c>
      <c r="Y73">
        <v>1</v>
      </c>
      <c r="Z73" s="5">
        <v>46007.248611111114</v>
      </c>
      <c r="AA73" s="5">
        <v>46007.248611111114</v>
      </c>
      <c r="AB73">
        <v>60</v>
      </c>
      <c r="AC73">
        <v>1</v>
      </c>
      <c r="AD73">
        <v>557612</v>
      </c>
      <c r="AE73">
        <v>0</v>
      </c>
      <c r="AF73" s="5">
        <v>46002.440972222219</v>
      </c>
      <c r="AG73" s="5">
        <v>46002.440972222219</v>
      </c>
      <c r="AH73" s="5">
        <v>46007.248611111114</v>
      </c>
      <c r="AI73">
        <v>1</v>
      </c>
    </row>
    <row r="74" spans="1:35" x14ac:dyDescent="0.2">
      <c r="A74" t="s">
        <v>693</v>
      </c>
      <c r="B74" t="s">
        <v>604</v>
      </c>
      <c r="C74" t="s">
        <v>605</v>
      </c>
      <c r="D74">
        <v>342117</v>
      </c>
      <c r="E74" t="s">
        <v>606</v>
      </c>
      <c r="F74">
        <v>14796</v>
      </c>
      <c r="G74">
        <v>70690</v>
      </c>
      <c r="J74">
        <v>148836</v>
      </c>
      <c r="K74">
        <v>0</v>
      </c>
      <c r="L74">
        <v>1</v>
      </c>
      <c r="M74">
        <v>1</v>
      </c>
      <c r="N74">
        <v>648959</v>
      </c>
      <c r="O74" t="s">
        <v>607</v>
      </c>
      <c r="P74">
        <v>321509</v>
      </c>
      <c r="Q74" t="s">
        <v>694</v>
      </c>
      <c r="R74">
        <v>1</v>
      </c>
      <c r="S74" t="s">
        <v>609</v>
      </c>
      <c r="T74">
        <v>0</v>
      </c>
      <c r="U74" t="s">
        <v>610</v>
      </c>
      <c r="V74">
        <v>1258257</v>
      </c>
      <c r="X74">
        <v>1258257</v>
      </c>
      <c r="Y74">
        <v>1</v>
      </c>
      <c r="Z74" s="5">
        <v>46007.259722222225</v>
      </c>
      <c r="AA74" s="5">
        <v>46007.261111111111</v>
      </c>
      <c r="AB74">
        <v>105</v>
      </c>
      <c r="AC74">
        <v>1</v>
      </c>
      <c r="AD74">
        <v>557612</v>
      </c>
      <c r="AE74">
        <v>0</v>
      </c>
      <c r="AF74" s="5">
        <v>46002.440972222219</v>
      </c>
      <c r="AG74" s="5">
        <v>46002.440972222219</v>
      </c>
      <c r="AH74" s="5">
        <v>46007.261111111111</v>
      </c>
      <c r="AI74">
        <v>1</v>
      </c>
    </row>
    <row r="75" spans="1:35" x14ac:dyDescent="0.2">
      <c r="A75" t="s">
        <v>695</v>
      </c>
      <c r="B75" t="s">
        <v>604</v>
      </c>
      <c r="C75" t="s">
        <v>605</v>
      </c>
      <c r="D75">
        <v>342117</v>
      </c>
      <c r="E75" t="s">
        <v>606</v>
      </c>
      <c r="F75">
        <v>14796</v>
      </c>
      <c r="G75">
        <v>70690</v>
      </c>
      <c r="J75">
        <v>148836</v>
      </c>
      <c r="K75">
        <v>0</v>
      </c>
      <c r="L75">
        <v>1</v>
      </c>
      <c r="M75">
        <v>1</v>
      </c>
      <c r="N75">
        <v>648951</v>
      </c>
      <c r="O75" t="s">
        <v>607</v>
      </c>
      <c r="P75">
        <v>321509</v>
      </c>
      <c r="Q75" t="s">
        <v>694</v>
      </c>
      <c r="R75">
        <v>1</v>
      </c>
      <c r="S75" t="s">
        <v>609</v>
      </c>
      <c r="T75">
        <v>0</v>
      </c>
      <c r="U75" t="s">
        <v>610</v>
      </c>
      <c r="V75">
        <v>1258258</v>
      </c>
      <c r="X75">
        <v>1258257</v>
      </c>
      <c r="Y75">
        <v>0</v>
      </c>
      <c r="Z75" s="5">
        <v>46007.260416666664</v>
      </c>
      <c r="AA75" s="5">
        <v>46007.260416666664</v>
      </c>
      <c r="AB75">
        <v>15</v>
      </c>
      <c r="AC75">
        <v>1</v>
      </c>
      <c r="AD75">
        <v>557612</v>
      </c>
      <c r="AE75">
        <v>0</v>
      </c>
      <c r="AF75" s="5">
        <v>46002.440972222219</v>
      </c>
      <c r="AG75" s="5">
        <v>46002.440972222219</v>
      </c>
      <c r="AH75" s="5">
        <v>46007.260416666664</v>
      </c>
      <c r="AI75">
        <v>1</v>
      </c>
    </row>
    <row r="76" spans="1:35" x14ac:dyDescent="0.2">
      <c r="A76" t="s">
        <v>696</v>
      </c>
      <c r="B76" t="s">
        <v>604</v>
      </c>
      <c r="C76" t="s">
        <v>605</v>
      </c>
      <c r="D76">
        <v>342117</v>
      </c>
      <c r="E76" t="s">
        <v>606</v>
      </c>
      <c r="F76">
        <v>14796</v>
      </c>
      <c r="G76">
        <v>70690</v>
      </c>
      <c r="J76">
        <v>148836</v>
      </c>
      <c r="K76">
        <v>0</v>
      </c>
      <c r="L76">
        <v>1</v>
      </c>
      <c r="M76">
        <v>1</v>
      </c>
      <c r="N76">
        <v>648986</v>
      </c>
      <c r="O76" t="s">
        <v>607</v>
      </c>
      <c r="P76">
        <v>321509</v>
      </c>
      <c r="Q76" t="s">
        <v>694</v>
      </c>
      <c r="R76">
        <v>1</v>
      </c>
      <c r="S76" t="s">
        <v>609</v>
      </c>
      <c r="T76">
        <v>0</v>
      </c>
      <c r="U76" t="s">
        <v>610</v>
      </c>
      <c r="V76">
        <v>1258258</v>
      </c>
      <c r="X76">
        <v>1258257</v>
      </c>
      <c r="Y76">
        <v>0</v>
      </c>
      <c r="Z76" s="5">
        <v>46007.262499999997</v>
      </c>
      <c r="AA76" s="5">
        <v>46007.262499999997</v>
      </c>
      <c r="AB76">
        <v>2</v>
      </c>
      <c r="AC76">
        <v>2</v>
      </c>
      <c r="AD76">
        <v>557612</v>
      </c>
      <c r="AE76">
        <v>0</v>
      </c>
      <c r="AF76" s="5">
        <v>46002.440972222219</v>
      </c>
      <c r="AG76" s="5">
        <v>46002.440972222219</v>
      </c>
      <c r="AH76" s="5">
        <v>46007.262499999997</v>
      </c>
      <c r="AI76">
        <v>1</v>
      </c>
    </row>
    <row r="77" spans="1:35" x14ac:dyDescent="0.2">
      <c r="A77" t="s">
        <v>697</v>
      </c>
      <c r="B77" t="s">
        <v>604</v>
      </c>
      <c r="C77" t="s">
        <v>605</v>
      </c>
      <c r="D77">
        <v>342117</v>
      </c>
      <c r="E77" t="s">
        <v>606</v>
      </c>
      <c r="F77">
        <v>14796</v>
      </c>
      <c r="G77">
        <v>70690</v>
      </c>
      <c r="J77">
        <v>148836</v>
      </c>
      <c r="K77">
        <v>0</v>
      </c>
      <c r="L77">
        <v>1</v>
      </c>
      <c r="M77">
        <v>1</v>
      </c>
      <c r="N77">
        <v>648953</v>
      </c>
      <c r="O77" t="s">
        <v>607</v>
      </c>
      <c r="P77">
        <v>321509</v>
      </c>
      <c r="Q77" t="s">
        <v>694</v>
      </c>
      <c r="R77">
        <v>1</v>
      </c>
      <c r="S77" t="s">
        <v>609</v>
      </c>
      <c r="T77">
        <v>0</v>
      </c>
      <c r="U77" t="s">
        <v>610</v>
      </c>
      <c r="V77">
        <v>1258259</v>
      </c>
      <c r="X77">
        <v>1258257</v>
      </c>
      <c r="Y77">
        <v>0</v>
      </c>
      <c r="Z77" s="5">
        <v>46007.260416666664</v>
      </c>
      <c r="AA77" s="5">
        <v>46007.260416666664</v>
      </c>
      <c r="AB77">
        <v>1</v>
      </c>
      <c r="AC77">
        <v>1</v>
      </c>
      <c r="AD77">
        <v>557612</v>
      </c>
      <c r="AE77">
        <v>0</v>
      </c>
      <c r="AF77" s="5">
        <v>46002.440972222219</v>
      </c>
      <c r="AG77" s="5">
        <v>46002.440972222219</v>
      </c>
      <c r="AH77" s="5">
        <v>46007.260416666664</v>
      </c>
      <c r="AI77">
        <v>1</v>
      </c>
    </row>
    <row r="78" spans="1:35" x14ac:dyDescent="0.2">
      <c r="A78" t="s">
        <v>698</v>
      </c>
      <c r="B78" t="s">
        <v>604</v>
      </c>
      <c r="C78" t="s">
        <v>605</v>
      </c>
      <c r="D78">
        <v>342117</v>
      </c>
      <c r="E78" t="s">
        <v>606</v>
      </c>
      <c r="F78">
        <v>14796</v>
      </c>
      <c r="G78">
        <v>70690</v>
      </c>
      <c r="J78">
        <v>148836</v>
      </c>
      <c r="K78">
        <v>0</v>
      </c>
      <c r="L78">
        <v>1</v>
      </c>
      <c r="M78">
        <v>1</v>
      </c>
      <c r="N78">
        <v>652934</v>
      </c>
      <c r="O78" t="s">
        <v>607</v>
      </c>
      <c r="P78">
        <v>321509</v>
      </c>
      <c r="Q78" t="s">
        <v>694</v>
      </c>
      <c r="R78">
        <v>1</v>
      </c>
      <c r="S78" t="s">
        <v>609</v>
      </c>
      <c r="T78">
        <v>0</v>
      </c>
      <c r="U78" t="s">
        <v>610</v>
      </c>
      <c r="V78">
        <v>1258257</v>
      </c>
      <c r="X78">
        <v>1258257</v>
      </c>
      <c r="Y78">
        <v>1</v>
      </c>
      <c r="Z78" s="5">
        <v>46007.259722222225</v>
      </c>
      <c r="AA78" s="5">
        <v>46007.259722222225</v>
      </c>
      <c r="AB78">
        <v>4</v>
      </c>
      <c r="AC78">
        <v>1</v>
      </c>
      <c r="AD78">
        <v>557612</v>
      </c>
      <c r="AE78">
        <v>0</v>
      </c>
      <c r="AF78" s="5">
        <v>46002.440972222219</v>
      </c>
      <c r="AG78" s="5">
        <v>46002.440972222219</v>
      </c>
      <c r="AH78" s="5">
        <v>46007.259722222225</v>
      </c>
      <c r="AI78">
        <v>1</v>
      </c>
    </row>
    <row r="79" spans="1:35" x14ac:dyDescent="0.2">
      <c r="A79" t="s">
        <v>699</v>
      </c>
      <c r="B79" t="s">
        <v>604</v>
      </c>
      <c r="C79" t="s">
        <v>605</v>
      </c>
      <c r="D79">
        <v>342117</v>
      </c>
      <c r="E79" t="s">
        <v>606</v>
      </c>
      <c r="F79">
        <v>14796</v>
      </c>
      <c r="G79">
        <v>70690</v>
      </c>
      <c r="J79">
        <v>148836</v>
      </c>
      <c r="K79">
        <v>0</v>
      </c>
      <c r="L79">
        <v>1</v>
      </c>
      <c r="M79">
        <v>1</v>
      </c>
      <c r="N79">
        <v>647426</v>
      </c>
      <c r="O79" t="s">
        <v>607</v>
      </c>
      <c r="P79">
        <v>321509</v>
      </c>
      <c r="Q79" t="s">
        <v>694</v>
      </c>
      <c r="R79">
        <v>1</v>
      </c>
      <c r="S79" t="s">
        <v>609</v>
      </c>
      <c r="T79">
        <v>0</v>
      </c>
      <c r="U79" t="s">
        <v>610</v>
      </c>
      <c r="V79">
        <v>1258257</v>
      </c>
      <c r="X79">
        <v>1258257</v>
      </c>
      <c r="Y79">
        <v>1</v>
      </c>
      <c r="Z79" s="5">
        <v>46007.259722222225</v>
      </c>
      <c r="AA79" s="5">
        <v>46007.260416666664</v>
      </c>
      <c r="AB79">
        <v>15</v>
      </c>
      <c r="AC79">
        <v>4</v>
      </c>
      <c r="AD79">
        <v>557612</v>
      </c>
      <c r="AE79">
        <v>0</v>
      </c>
      <c r="AF79" s="5">
        <v>46002.440972222219</v>
      </c>
      <c r="AG79" s="5">
        <v>46002.440972222219</v>
      </c>
      <c r="AH79" s="5">
        <v>46007.260416666664</v>
      </c>
      <c r="AI79">
        <v>1</v>
      </c>
    </row>
    <row r="80" spans="1:35" x14ac:dyDescent="0.2">
      <c r="A80" t="s">
        <v>700</v>
      </c>
      <c r="B80" t="s">
        <v>604</v>
      </c>
      <c r="C80" t="s">
        <v>605</v>
      </c>
      <c r="D80">
        <v>342117</v>
      </c>
      <c r="E80" t="s">
        <v>606</v>
      </c>
      <c r="F80">
        <v>14796</v>
      </c>
      <c r="G80">
        <v>70690</v>
      </c>
      <c r="J80">
        <v>148836</v>
      </c>
      <c r="K80">
        <v>0</v>
      </c>
      <c r="L80">
        <v>1</v>
      </c>
      <c r="M80">
        <v>1</v>
      </c>
      <c r="N80">
        <v>647496</v>
      </c>
      <c r="O80" t="s">
        <v>607</v>
      </c>
      <c r="P80">
        <v>321509</v>
      </c>
      <c r="Q80" t="s">
        <v>694</v>
      </c>
      <c r="R80">
        <v>1</v>
      </c>
      <c r="S80" t="s">
        <v>609</v>
      </c>
      <c r="T80">
        <v>0</v>
      </c>
      <c r="U80" t="s">
        <v>610</v>
      </c>
      <c r="V80">
        <v>1258257</v>
      </c>
      <c r="X80">
        <v>1258257</v>
      </c>
      <c r="Y80">
        <v>1</v>
      </c>
      <c r="Z80" s="5">
        <v>46007.260416666664</v>
      </c>
      <c r="AA80" s="5">
        <v>46007.261111111111</v>
      </c>
      <c r="AB80">
        <v>43</v>
      </c>
      <c r="AC80">
        <v>1</v>
      </c>
      <c r="AD80">
        <v>557612</v>
      </c>
      <c r="AE80">
        <v>0</v>
      </c>
      <c r="AF80" s="5">
        <v>46002.440972222219</v>
      </c>
      <c r="AG80" s="5">
        <v>46002.440972222219</v>
      </c>
      <c r="AH80" s="5">
        <v>46007.261111111111</v>
      </c>
      <c r="AI80">
        <v>1</v>
      </c>
    </row>
    <row r="81" spans="1:35" x14ac:dyDescent="0.2">
      <c r="A81" t="s">
        <v>701</v>
      </c>
      <c r="B81" t="s">
        <v>604</v>
      </c>
      <c r="C81" t="s">
        <v>605</v>
      </c>
      <c r="D81">
        <v>342117</v>
      </c>
      <c r="E81" t="s">
        <v>606</v>
      </c>
      <c r="F81">
        <v>14796</v>
      </c>
      <c r="G81">
        <v>70690</v>
      </c>
      <c r="J81">
        <v>148836</v>
      </c>
      <c r="K81">
        <v>0</v>
      </c>
      <c r="L81">
        <v>1</v>
      </c>
      <c r="M81">
        <v>1</v>
      </c>
      <c r="N81">
        <v>647499</v>
      </c>
      <c r="O81" t="s">
        <v>607</v>
      </c>
      <c r="P81">
        <v>321509</v>
      </c>
      <c r="Q81" t="s">
        <v>694</v>
      </c>
      <c r="R81">
        <v>1</v>
      </c>
      <c r="S81" t="s">
        <v>609</v>
      </c>
      <c r="T81">
        <v>0</v>
      </c>
      <c r="U81" t="s">
        <v>610</v>
      </c>
      <c r="V81">
        <v>1258257</v>
      </c>
      <c r="X81">
        <v>1258257</v>
      </c>
      <c r="Y81">
        <v>1</v>
      </c>
      <c r="Z81" s="5">
        <v>46007.259722222225</v>
      </c>
      <c r="AA81" s="5">
        <v>46007.260416666664</v>
      </c>
      <c r="AB81">
        <v>33</v>
      </c>
      <c r="AC81">
        <v>1</v>
      </c>
      <c r="AD81">
        <v>557612</v>
      </c>
      <c r="AE81">
        <v>0</v>
      </c>
      <c r="AF81" s="5">
        <v>46002.440972222219</v>
      </c>
      <c r="AG81" s="5">
        <v>46002.440972222219</v>
      </c>
      <c r="AH81" s="5">
        <v>46007.260416666664</v>
      </c>
      <c r="AI81">
        <v>1</v>
      </c>
    </row>
    <row r="82" spans="1:35" x14ac:dyDescent="0.2">
      <c r="A82" t="s">
        <v>702</v>
      </c>
      <c r="B82" t="s">
        <v>604</v>
      </c>
      <c r="C82" t="s">
        <v>605</v>
      </c>
      <c r="D82">
        <v>342117</v>
      </c>
      <c r="E82" t="s">
        <v>606</v>
      </c>
      <c r="F82">
        <v>14796</v>
      </c>
      <c r="G82">
        <v>70690</v>
      </c>
      <c r="J82">
        <v>148836</v>
      </c>
      <c r="K82">
        <v>0</v>
      </c>
      <c r="L82">
        <v>0</v>
      </c>
      <c r="M82">
        <v>0</v>
      </c>
      <c r="N82">
        <v>652929</v>
      </c>
      <c r="O82" t="s">
        <v>607</v>
      </c>
      <c r="P82">
        <v>321509</v>
      </c>
      <c r="Q82" t="s">
        <v>694</v>
      </c>
      <c r="R82">
        <v>1</v>
      </c>
      <c r="S82" t="s">
        <v>609</v>
      </c>
      <c r="T82">
        <v>0</v>
      </c>
      <c r="U82" t="s">
        <v>610</v>
      </c>
      <c r="V82">
        <v>-1</v>
      </c>
      <c r="X82">
        <v>1258257</v>
      </c>
      <c r="Z82" s="5">
        <v>46007.259722222225</v>
      </c>
      <c r="AA82" s="5">
        <v>46007.259722222225</v>
      </c>
      <c r="AC82">
        <v>0</v>
      </c>
      <c r="AD82">
        <v>557612</v>
      </c>
      <c r="AE82">
        <v>0</v>
      </c>
      <c r="AF82" s="5">
        <v>46002.440972222219</v>
      </c>
      <c r="AG82" s="5">
        <v>46002.440972222219</v>
      </c>
      <c r="AI82">
        <v>1</v>
      </c>
    </row>
    <row r="83" spans="1:35" x14ac:dyDescent="0.2">
      <c r="A83" t="s">
        <v>703</v>
      </c>
      <c r="B83" t="s">
        <v>604</v>
      </c>
      <c r="C83" t="s">
        <v>605</v>
      </c>
      <c r="D83">
        <v>342117</v>
      </c>
      <c r="E83" t="s">
        <v>606</v>
      </c>
      <c r="F83">
        <v>14796</v>
      </c>
      <c r="G83">
        <v>70690</v>
      </c>
      <c r="J83">
        <v>148836</v>
      </c>
      <c r="K83">
        <v>0</v>
      </c>
      <c r="L83">
        <v>1</v>
      </c>
      <c r="M83">
        <v>1</v>
      </c>
      <c r="N83">
        <v>647404</v>
      </c>
      <c r="O83" t="s">
        <v>607</v>
      </c>
      <c r="P83">
        <v>321509</v>
      </c>
      <c r="Q83" t="s">
        <v>694</v>
      </c>
      <c r="R83">
        <v>1</v>
      </c>
      <c r="S83" t="s">
        <v>609</v>
      </c>
      <c r="T83">
        <v>0</v>
      </c>
      <c r="U83" t="s">
        <v>610</v>
      </c>
      <c r="V83">
        <v>1258260</v>
      </c>
      <c r="X83">
        <v>1258257</v>
      </c>
      <c r="Y83">
        <v>0</v>
      </c>
      <c r="Z83" s="5">
        <v>46007.259722222225</v>
      </c>
      <c r="AA83" s="5">
        <v>46007.259722222225</v>
      </c>
      <c r="AB83">
        <v>9</v>
      </c>
      <c r="AC83">
        <v>1</v>
      </c>
      <c r="AD83">
        <v>557612</v>
      </c>
      <c r="AE83">
        <v>0</v>
      </c>
      <c r="AF83" s="5">
        <v>46002.440972222219</v>
      </c>
      <c r="AG83" s="5">
        <v>46002.440972222219</v>
      </c>
      <c r="AH83" s="5">
        <v>46007.259722222225</v>
      </c>
      <c r="AI83">
        <v>1</v>
      </c>
    </row>
    <row r="84" spans="1:35" x14ac:dyDescent="0.2">
      <c r="A84" t="s">
        <v>704</v>
      </c>
      <c r="B84" t="s">
        <v>604</v>
      </c>
      <c r="C84" t="s">
        <v>605</v>
      </c>
      <c r="D84">
        <v>342117</v>
      </c>
      <c r="E84" t="s">
        <v>606</v>
      </c>
      <c r="F84">
        <v>14796</v>
      </c>
      <c r="G84">
        <v>70690</v>
      </c>
      <c r="J84">
        <v>148836</v>
      </c>
      <c r="K84">
        <v>0</v>
      </c>
      <c r="L84">
        <v>1</v>
      </c>
      <c r="M84">
        <v>1</v>
      </c>
      <c r="N84">
        <v>647739</v>
      </c>
      <c r="O84" t="s">
        <v>607</v>
      </c>
      <c r="P84">
        <v>321509</v>
      </c>
      <c r="Q84" t="s">
        <v>694</v>
      </c>
      <c r="R84">
        <v>1</v>
      </c>
      <c r="S84" t="s">
        <v>609</v>
      </c>
      <c r="T84">
        <v>0</v>
      </c>
      <c r="U84" t="s">
        <v>610</v>
      </c>
      <c r="V84">
        <v>1258260</v>
      </c>
      <c r="X84">
        <v>1258257</v>
      </c>
      <c r="Y84">
        <v>0</v>
      </c>
      <c r="Z84" s="5">
        <v>46007.259722222225</v>
      </c>
      <c r="AA84" s="5">
        <v>46007.260416666664</v>
      </c>
      <c r="AB84">
        <v>65</v>
      </c>
      <c r="AC84">
        <v>1</v>
      </c>
      <c r="AD84">
        <v>557612</v>
      </c>
      <c r="AE84">
        <v>0</v>
      </c>
      <c r="AF84" s="5">
        <v>46002.440972222219</v>
      </c>
      <c r="AG84" s="5">
        <v>46002.440972222219</v>
      </c>
      <c r="AH84" s="5">
        <v>46007.260416666664</v>
      </c>
      <c r="AI84">
        <v>1</v>
      </c>
    </row>
    <row r="85" spans="1:35" x14ac:dyDescent="0.2">
      <c r="A85" t="s">
        <v>705</v>
      </c>
      <c r="B85" t="s">
        <v>604</v>
      </c>
      <c r="C85" t="s">
        <v>605</v>
      </c>
      <c r="D85">
        <v>342117</v>
      </c>
      <c r="E85" t="s">
        <v>606</v>
      </c>
      <c r="F85">
        <v>14796</v>
      </c>
      <c r="G85">
        <v>70690</v>
      </c>
      <c r="J85">
        <v>148836</v>
      </c>
      <c r="K85">
        <v>0</v>
      </c>
      <c r="L85">
        <v>1</v>
      </c>
      <c r="M85">
        <v>1</v>
      </c>
      <c r="N85">
        <v>647748</v>
      </c>
      <c r="O85" t="s">
        <v>607</v>
      </c>
      <c r="P85">
        <v>321509</v>
      </c>
      <c r="Q85" t="s">
        <v>694</v>
      </c>
      <c r="R85">
        <v>1</v>
      </c>
      <c r="S85" t="s">
        <v>609</v>
      </c>
      <c r="T85">
        <v>0</v>
      </c>
      <c r="U85" t="s">
        <v>610</v>
      </c>
      <c r="V85">
        <v>1258257</v>
      </c>
      <c r="X85">
        <v>1258257</v>
      </c>
      <c r="Y85">
        <v>1</v>
      </c>
      <c r="Z85" s="5">
        <v>46007.259722222225</v>
      </c>
      <c r="AA85" s="5">
        <v>46007.260416666664</v>
      </c>
      <c r="AB85">
        <v>27</v>
      </c>
      <c r="AC85">
        <v>1</v>
      </c>
      <c r="AD85">
        <v>557612</v>
      </c>
      <c r="AE85">
        <v>0</v>
      </c>
      <c r="AF85" s="5">
        <v>46002.440972222219</v>
      </c>
      <c r="AG85" s="5">
        <v>46002.440972222219</v>
      </c>
      <c r="AH85" s="5">
        <v>46007.260416666664</v>
      </c>
      <c r="AI85">
        <v>1</v>
      </c>
    </row>
    <row r="86" spans="1:35" x14ac:dyDescent="0.2">
      <c r="A86" t="s">
        <v>706</v>
      </c>
      <c r="B86" t="s">
        <v>604</v>
      </c>
      <c r="C86" t="s">
        <v>605</v>
      </c>
      <c r="D86">
        <v>342117</v>
      </c>
      <c r="E86" t="s">
        <v>606</v>
      </c>
      <c r="F86">
        <v>14796</v>
      </c>
      <c r="G86">
        <v>70690</v>
      </c>
      <c r="J86">
        <v>148836</v>
      </c>
      <c r="K86">
        <v>0</v>
      </c>
      <c r="L86">
        <v>0</v>
      </c>
      <c r="M86">
        <v>0</v>
      </c>
      <c r="N86">
        <v>647504</v>
      </c>
      <c r="O86" t="s">
        <v>607</v>
      </c>
      <c r="P86">
        <v>321509</v>
      </c>
      <c r="Q86" t="s">
        <v>694</v>
      </c>
      <c r="R86">
        <v>1</v>
      </c>
      <c r="S86" t="s">
        <v>609</v>
      </c>
      <c r="T86">
        <v>0</v>
      </c>
      <c r="U86" t="s">
        <v>610</v>
      </c>
      <c r="V86">
        <v>-1</v>
      </c>
      <c r="X86">
        <v>1258257</v>
      </c>
      <c r="Z86" s="5">
        <v>46007.259722222225</v>
      </c>
      <c r="AA86" s="5">
        <v>46007.259722222225</v>
      </c>
      <c r="AC86">
        <v>0</v>
      </c>
      <c r="AD86">
        <v>557612</v>
      </c>
      <c r="AE86">
        <v>0</v>
      </c>
      <c r="AF86" s="5">
        <v>46002.440972222219</v>
      </c>
      <c r="AG86" s="5">
        <v>46002.440972222219</v>
      </c>
      <c r="AI86">
        <v>1</v>
      </c>
    </row>
    <row r="87" spans="1:35" x14ac:dyDescent="0.2">
      <c r="A87" t="s">
        <v>707</v>
      </c>
      <c r="B87" t="s">
        <v>604</v>
      </c>
      <c r="C87" t="s">
        <v>605</v>
      </c>
      <c r="D87">
        <v>342117</v>
      </c>
      <c r="E87" t="s">
        <v>606</v>
      </c>
      <c r="F87">
        <v>14796</v>
      </c>
      <c r="G87">
        <v>70690</v>
      </c>
      <c r="J87">
        <v>148836</v>
      </c>
      <c r="K87">
        <v>0</v>
      </c>
      <c r="L87">
        <v>1</v>
      </c>
      <c r="M87">
        <v>1</v>
      </c>
      <c r="N87">
        <v>647433</v>
      </c>
      <c r="O87" t="s">
        <v>607</v>
      </c>
      <c r="P87">
        <v>321509</v>
      </c>
      <c r="Q87" t="s">
        <v>694</v>
      </c>
      <c r="R87">
        <v>1</v>
      </c>
      <c r="S87" t="s">
        <v>609</v>
      </c>
      <c r="T87">
        <v>0</v>
      </c>
      <c r="U87" t="s">
        <v>610</v>
      </c>
      <c r="V87">
        <v>1258260</v>
      </c>
      <c r="X87">
        <v>1258257</v>
      </c>
      <c r="Y87">
        <v>0</v>
      </c>
      <c r="Z87" s="5">
        <v>46007.260416666664</v>
      </c>
      <c r="AA87" s="5">
        <v>46007.260416666664</v>
      </c>
      <c r="AB87">
        <v>28</v>
      </c>
      <c r="AC87">
        <v>1</v>
      </c>
      <c r="AD87">
        <v>557612</v>
      </c>
      <c r="AE87">
        <v>0</v>
      </c>
      <c r="AF87" s="5">
        <v>46002.440972222219</v>
      </c>
      <c r="AG87" s="5">
        <v>46002.440972222219</v>
      </c>
      <c r="AH87" s="5">
        <v>46007.260416666664</v>
      </c>
      <c r="AI87">
        <v>1</v>
      </c>
    </row>
    <row r="88" spans="1:35" x14ac:dyDescent="0.2">
      <c r="A88" t="s">
        <v>708</v>
      </c>
      <c r="B88" t="s">
        <v>604</v>
      </c>
      <c r="C88" t="s">
        <v>605</v>
      </c>
      <c r="D88">
        <v>342117</v>
      </c>
      <c r="E88" t="s">
        <v>606</v>
      </c>
      <c r="F88">
        <v>14796</v>
      </c>
      <c r="G88">
        <v>70690</v>
      </c>
      <c r="J88">
        <v>148836</v>
      </c>
      <c r="K88">
        <v>0</v>
      </c>
      <c r="L88">
        <v>1</v>
      </c>
      <c r="M88">
        <v>1</v>
      </c>
      <c r="N88">
        <v>647306</v>
      </c>
      <c r="O88" t="s">
        <v>607</v>
      </c>
      <c r="P88">
        <v>321509</v>
      </c>
      <c r="Q88" t="s">
        <v>694</v>
      </c>
      <c r="R88">
        <v>1</v>
      </c>
      <c r="S88" t="s">
        <v>609</v>
      </c>
      <c r="T88">
        <v>0</v>
      </c>
      <c r="U88" t="s">
        <v>610</v>
      </c>
      <c r="V88">
        <v>1258260</v>
      </c>
      <c r="X88">
        <v>1258257</v>
      </c>
      <c r="Y88">
        <v>0</v>
      </c>
      <c r="Z88" s="5">
        <v>46007.260416666664</v>
      </c>
      <c r="AA88" s="5">
        <v>46007.260416666664</v>
      </c>
      <c r="AB88">
        <v>16</v>
      </c>
      <c r="AC88">
        <v>1</v>
      </c>
      <c r="AD88">
        <v>557612</v>
      </c>
      <c r="AE88">
        <v>0</v>
      </c>
      <c r="AF88" s="5">
        <v>46002.440972222219</v>
      </c>
      <c r="AG88" s="5">
        <v>46002.440972222219</v>
      </c>
      <c r="AH88" s="5">
        <v>46007.260416666664</v>
      </c>
      <c r="AI88">
        <v>1</v>
      </c>
    </row>
    <row r="89" spans="1:35" x14ac:dyDescent="0.2">
      <c r="A89" t="s">
        <v>709</v>
      </c>
      <c r="B89" t="s">
        <v>604</v>
      </c>
      <c r="C89" t="s">
        <v>605</v>
      </c>
      <c r="D89">
        <v>342117</v>
      </c>
      <c r="E89" t="s">
        <v>606</v>
      </c>
      <c r="F89">
        <v>14796</v>
      </c>
      <c r="G89">
        <v>70690</v>
      </c>
      <c r="J89">
        <v>148836</v>
      </c>
      <c r="K89">
        <v>0</v>
      </c>
      <c r="L89">
        <v>1</v>
      </c>
      <c r="M89">
        <v>1</v>
      </c>
      <c r="N89">
        <v>657525</v>
      </c>
      <c r="O89" t="s">
        <v>607</v>
      </c>
      <c r="P89">
        <v>321509</v>
      </c>
      <c r="Q89" t="s">
        <v>694</v>
      </c>
      <c r="R89">
        <v>1</v>
      </c>
      <c r="S89" t="s">
        <v>609</v>
      </c>
      <c r="T89">
        <v>0</v>
      </c>
      <c r="U89" t="s">
        <v>610</v>
      </c>
      <c r="V89">
        <v>1258259</v>
      </c>
      <c r="X89">
        <v>1258257</v>
      </c>
      <c r="Y89">
        <v>0</v>
      </c>
      <c r="Z89" s="5">
        <v>46007.260416666664</v>
      </c>
      <c r="AA89" s="5">
        <v>46007.261111111111</v>
      </c>
      <c r="AB89">
        <v>50</v>
      </c>
      <c r="AC89">
        <v>1</v>
      </c>
      <c r="AD89">
        <v>557612</v>
      </c>
      <c r="AE89">
        <v>0</v>
      </c>
      <c r="AF89" s="5">
        <v>46002.440972222219</v>
      </c>
      <c r="AG89" s="5">
        <v>46002.440972222219</v>
      </c>
      <c r="AH89" s="5">
        <v>46007.261111111111</v>
      </c>
      <c r="AI89">
        <v>1</v>
      </c>
    </row>
    <row r="90" spans="1:35" x14ac:dyDescent="0.2">
      <c r="A90" t="s">
        <v>710</v>
      </c>
      <c r="B90" t="s">
        <v>604</v>
      </c>
      <c r="C90" t="s">
        <v>605</v>
      </c>
      <c r="D90">
        <v>342117</v>
      </c>
      <c r="E90" t="s">
        <v>606</v>
      </c>
      <c r="F90">
        <v>14796</v>
      </c>
      <c r="G90">
        <v>70690</v>
      </c>
      <c r="J90">
        <v>148836</v>
      </c>
      <c r="K90">
        <v>0</v>
      </c>
      <c r="L90">
        <v>1</v>
      </c>
      <c r="M90">
        <v>1</v>
      </c>
      <c r="N90">
        <v>651452</v>
      </c>
      <c r="O90" t="s">
        <v>607</v>
      </c>
      <c r="P90">
        <v>321509</v>
      </c>
      <c r="Q90" t="s">
        <v>694</v>
      </c>
      <c r="R90">
        <v>1</v>
      </c>
      <c r="S90" t="s">
        <v>609</v>
      </c>
      <c r="T90">
        <v>0</v>
      </c>
      <c r="U90" t="s">
        <v>610</v>
      </c>
      <c r="V90">
        <v>1258257</v>
      </c>
      <c r="X90">
        <v>1258257</v>
      </c>
      <c r="Y90">
        <v>1</v>
      </c>
      <c r="Z90" s="5">
        <v>46007.259722222225</v>
      </c>
      <c r="AA90" s="5">
        <v>46007.260416666664</v>
      </c>
      <c r="AB90">
        <v>16</v>
      </c>
      <c r="AC90">
        <v>1</v>
      </c>
      <c r="AD90">
        <v>557612</v>
      </c>
      <c r="AE90">
        <v>0</v>
      </c>
      <c r="AF90" s="5">
        <v>46002.440972222219</v>
      </c>
      <c r="AG90" s="5">
        <v>46002.440972222219</v>
      </c>
      <c r="AH90" s="5">
        <v>46007.260416666664</v>
      </c>
      <c r="AI90">
        <v>1</v>
      </c>
    </row>
    <row r="91" spans="1:35" x14ac:dyDescent="0.2">
      <c r="A91" t="s">
        <v>711</v>
      </c>
      <c r="B91" t="s">
        <v>604</v>
      </c>
      <c r="C91" t="s">
        <v>634</v>
      </c>
      <c r="D91">
        <v>342123</v>
      </c>
      <c r="E91" t="s">
        <v>606</v>
      </c>
      <c r="F91">
        <v>14796</v>
      </c>
      <c r="G91">
        <v>70690</v>
      </c>
      <c r="J91">
        <v>148837</v>
      </c>
      <c r="K91">
        <v>0</v>
      </c>
      <c r="L91">
        <v>1</v>
      </c>
      <c r="M91">
        <v>1</v>
      </c>
      <c r="N91">
        <v>647433</v>
      </c>
      <c r="O91" t="s">
        <v>607</v>
      </c>
      <c r="P91">
        <v>334117</v>
      </c>
      <c r="Q91" t="s">
        <v>712</v>
      </c>
      <c r="R91">
        <v>1</v>
      </c>
      <c r="S91" t="s">
        <v>609</v>
      </c>
      <c r="T91">
        <v>1</v>
      </c>
      <c r="U91" t="s">
        <v>610</v>
      </c>
      <c r="V91">
        <v>1307474</v>
      </c>
      <c r="X91">
        <v>1307476</v>
      </c>
      <c r="Y91">
        <v>0</v>
      </c>
      <c r="Z91" s="5">
        <v>46007.254861111112</v>
      </c>
      <c r="AA91" s="5">
        <v>46007.255555555559</v>
      </c>
      <c r="AB91">
        <v>48</v>
      </c>
      <c r="AC91">
        <v>1</v>
      </c>
      <c r="AD91">
        <v>557612</v>
      </c>
      <c r="AE91">
        <v>0</v>
      </c>
      <c r="AF91" s="5">
        <v>46002.440972222219</v>
      </c>
      <c r="AG91" s="5">
        <v>46002.440972222219</v>
      </c>
      <c r="AH91" s="5">
        <v>46007.255555555559</v>
      </c>
      <c r="AI91">
        <v>1</v>
      </c>
    </row>
    <row r="92" spans="1:35" x14ac:dyDescent="0.2">
      <c r="A92" t="s">
        <v>713</v>
      </c>
      <c r="B92" t="s">
        <v>604</v>
      </c>
      <c r="C92" t="s">
        <v>634</v>
      </c>
      <c r="D92">
        <v>342123</v>
      </c>
      <c r="E92" t="s">
        <v>606</v>
      </c>
      <c r="F92">
        <v>14796</v>
      </c>
      <c r="G92">
        <v>70690</v>
      </c>
      <c r="J92">
        <v>148837</v>
      </c>
      <c r="K92">
        <v>0</v>
      </c>
      <c r="L92">
        <v>1</v>
      </c>
      <c r="M92">
        <v>1</v>
      </c>
      <c r="N92">
        <v>651452</v>
      </c>
      <c r="O92" t="s">
        <v>607</v>
      </c>
      <c r="P92">
        <v>334117</v>
      </c>
      <c r="Q92" t="s">
        <v>712</v>
      </c>
      <c r="R92">
        <v>1</v>
      </c>
      <c r="S92" t="s">
        <v>609</v>
      </c>
      <c r="T92">
        <v>1</v>
      </c>
      <c r="U92" t="s">
        <v>610</v>
      </c>
      <c r="V92">
        <v>1307476</v>
      </c>
      <c r="X92">
        <v>1307476</v>
      </c>
      <c r="Y92">
        <v>1</v>
      </c>
      <c r="Z92" s="5">
        <v>46007.253472222219</v>
      </c>
      <c r="AA92" s="5">
        <v>46007.254166666666</v>
      </c>
      <c r="AB92">
        <v>16</v>
      </c>
      <c r="AC92">
        <v>1</v>
      </c>
      <c r="AD92">
        <v>557612</v>
      </c>
      <c r="AE92">
        <v>0</v>
      </c>
      <c r="AF92" s="5">
        <v>46002.440972222219</v>
      </c>
      <c r="AG92" s="5">
        <v>46002.440972222219</v>
      </c>
      <c r="AH92" s="5">
        <v>46007.254166666666</v>
      </c>
      <c r="AI92">
        <v>1</v>
      </c>
    </row>
    <row r="93" spans="1:35" x14ac:dyDescent="0.2">
      <c r="A93" t="s">
        <v>714</v>
      </c>
      <c r="B93" t="s">
        <v>604</v>
      </c>
      <c r="C93" t="s">
        <v>634</v>
      </c>
      <c r="D93">
        <v>342123</v>
      </c>
      <c r="E93" t="s">
        <v>606</v>
      </c>
      <c r="F93">
        <v>14796</v>
      </c>
      <c r="G93">
        <v>70690</v>
      </c>
      <c r="J93">
        <v>148837</v>
      </c>
      <c r="K93">
        <v>0</v>
      </c>
      <c r="L93">
        <v>1</v>
      </c>
      <c r="M93">
        <v>1</v>
      </c>
      <c r="N93">
        <v>652940</v>
      </c>
      <c r="O93" t="s">
        <v>607</v>
      </c>
      <c r="P93">
        <v>334117</v>
      </c>
      <c r="Q93" t="s">
        <v>712</v>
      </c>
      <c r="R93">
        <v>1</v>
      </c>
      <c r="S93" t="s">
        <v>609</v>
      </c>
      <c r="T93">
        <v>1</v>
      </c>
      <c r="U93" t="s">
        <v>610</v>
      </c>
      <c r="V93">
        <v>1307476</v>
      </c>
      <c r="X93">
        <v>1307476</v>
      </c>
      <c r="Y93">
        <v>1</v>
      </c>
      <c r="Z93" s="5">
        <v>46007.25277777778</v>
      </c>
      <c r="AA93" s="5">
        <v>46007.253472222219</v>
      </c>
      <c r="AB93">
        <v>19</v>
      </c>
      <c r="AC93">
        <v>1</v>
      </c>
      <c r="AD93">
        <v>557612</v>
      </c>
      <c r="AE93">
        <v>0</v>
      </c>
      <c r="AF93" s="5">
        <v>46002.440972222219</v>
      </c>
      <c r="AG93" s="5">
        <v>46002.440972222219</v>
      </c>
      <c r="AH93" s="5">
        <v>46007.253472222219</v>
      </c>
      <c r="AI93">
        <v>1</v>
      </c>
    </row>
    <row r="94" spans="1:35" x14ac:dyDescent="0.2">
      <c r="A94" t="s">
        <v>715</v>
      </c>
      <c r="B94" t="s">
        <v>604</v>
      </c>
      <c r="C94" t="s">
        <v>634</v>
      </c>
      <c r="D94">
        <v>342123</v>
      </c>
      <c r="E94" t="s">
        <v>606</v>
      </c>
      <c r="F94">
        <v>14796</v>
      </c>
      <c r="G94">
        <v>70690</v>
      </c>
      <c r="J94">
        <v>148837</v>
      </c>
      <c r="K94">
        <v>0</v>
      </c>
      <c r="L94">
        <v>1</v>
      </c>
      <c r="M94">
        <v>1</v>
      </c>
      <c r="N94">
        <v>648953</v>
      </c>
      <c r="O94" t="s">
        <v>607</v>
      </c>
      <c r="P94">
        <v>334117</v>
      </c>
      <c r="Q94" t="s">
        <v>712</v>
      </c>
      <c r="R94">
        <v>1</v>
      </c>
      <c r="S94" t="s">
        <v>609</v>
      </c>
      <c r="T94">
        <v>1</v>
      </c>
      <c r="U94" t="s">
        <v>610</v>
      </c>
      <c r="V94">
        <v>1307475</v>
      </c>
      <c r="X94">
        <v>1307476</v>
      </c>
      <c r="Y94">
        <v>0</v>
      </c>
      <c r="Z94" s="5">
        <v>46007.254166666666</v>
      </c>
      <c r="AA94" s="5">
        <v>46007.254166666666</v>
      </c>
      <c r="AB94">
        <v>3</v>
      </c>
      <c r="AC94">
        <v>1</v>
      </c>
      <c r="AD94">
        <v>557612</v>
      </c>
      <c r="AE94">
        <v>0</v>
      </c>
      <c r="AF94" s="5">
        <v>46002.440972222219</v>
      </c>
      <c r="AG94" s="5">
        <v>46002.440972222219</v>
      </c>
      <c r="AH94" s="5">
        <v>46007.254166666666</v>
      </c>
      <c r="AI94">
        <v>1</v>
      </c>
    </row>
    <row r="95" spans="1:35" x14ac:dyDescent="0.2">
      <c r="A95" t="s">
        <v>716</v>
      </c>
      <c r="B95" t="s">
        <v>604</v>
      </c>
      <c r="C95" t="s">
        <v>634</v>
      </c>
      <c r="D95">
        <v>342123</v>
      </c>
      <c r="E95" t="s">
        <v>606</v>
      </c>
      <c r="F95">
        <v>14796</v>
      </c>
      <c r="G95">
        <v>70690</v>
      </c>
      <c r="J95">
        <v>148837</v>
      </c>
      <c r="K95">
        <v>0</v>
      </c>
      <c r="L95">
        <v>1</v>
      </c>
      <c r="M95">
        <v>1</v>
      </c>
      <c r="N95">
        <v>647426</v>
      </c>
      <c r="O95" t="s">
        <v>607</v>
      </c>
      <c r="P95">
        <v>334117</v>
      </c>
      <c r="Q95" t="s">
        <v>712</v>
      </c>
      <c r="R95">
        <v>1</v>
      </c>
      <c r="S95" t="s">
        <v>609</v>
      </c>
      <c r="T95">
        <v>1</v>
      </c>
      <c r="U95" t="s">
        <v>610</v>
      </c>
      <c r="V95">
        <v>1307475</v>
      </c>
      <c r="X95">
        <v>1307476</v>
      </c>
      <c r="Y95">
        <v>0</v>
      </c>
      <c r="Z95" s="5">
        <v>46007.254861111112</v>
      </c>
      <c r="AA95" s="5">
        <v>46007.254861111112</v>
      </c>
      <c r="AB95">
        <v>11</v>
      </c>
      <c r="AC95">
        <v>1</v>
      </c>
      <c r="AD95">
        <v>557612</v>
      </c>
      <c r="AE95">
        <v>0</v>
      </c>
      <c r="AF95" s="5">
        <v>46002.440972222219</v>
      </c>
      <c r="AG95" s="5">
        <v>46002.440972222219</v>
      </c>
      <c r="AH95" s="5">
        <v>46007.254861111112</v>
      </c>
      <c r="AI95">
        <v>1</v>
      </c>
    </row>
    <row r="96" spans="1:35" x14ac:dyDescent="0.2">
      <c r="A96" t="s">
        <v>717</v>
      </c>
      <c r="B96" t="s">
        <v>604</v>
      </c>
      <c r="C96" t="s">
        <v>634</v>
      </c>
      <c r="D96">
        <v>342123</v>
      </c>
      <c r="E96" t="s">
        <v>606</v>
      </c>
      <c r="F96">
        <v>14796</v>
      </c>
      <c r="G96">
        <v>70690</v>
      </c>
      <c r="J96">
        <v>148837</v>
      </c>
      <c r="K96">
        <v>0</v>
      </c>
      <c r="L96">
        <v>1</v>
      </c>
      <c r="M96">
        <v>1</v>
      </c>
      <c r="N96">
        <v>647411</v>
      </c>
      <c r="O96" t="s">
        <v>607</v>
      </c>
      <c r="P96">
        <v>334117</v>
      </c>
      <c r="Q96" t="s">
        <v>712</v>
      </c>
      <c r="R96">
        <v>1</v>
      </c>
      <c r="S96" t="s">
        <v>609</v>
      </c>
      <c r="T96">
        <v>1</v>
      </c>
      <c r="U96" t="s">
        <v>610</v>
      </c>
      <c r="V96">
        <v>1307474</v>
      </c>
      <c r="X96">
        <v>1307476</v>
      </c>
      <c r="Y96">
        <v>0</v>
      </c>
      <c r="Z96" s="5">
        <v>46007.254861111112</v>
      </c>
      <c r="AA96" s="5">
        <v>46007.254861111112</v>
      </c>
      <c r="AB96">
        <v>23</v>
      </c>
      <c r="AC96">
        <v>1</v>
      </c>
      <c r="AD96">
        <v>557612</v>
      </c>
      <c r="AE96">
        <v>0</v>
      </c>
      <c r="AF96" s="5">
        <v>46002.440972222219</v>
      </c>
      <c r="AG96" s="5">
        <v>46002.440972222219</v>
      </c>
      <c r="AH96" s="5">
        <v>46007.254861111112</v>
      </c>
      <c r="AI96">
        <v>1</v>
      </c>
    </row>
    <row r="97" spans="1:35" x14ac:dyDescent="0.2">
      <c r="A97" t="s">
        <v>718</v>
      </c>
      <c r="B97" t="s">
        <v>604</v>
      </c>
      <c r="C97" t="s">
        <v>634</v>
      </c>
      <c r="D97">
        <v>342123</v>
      </c>
      <c r="E97" t="s">
        <v>606</v>
      </c>
      <c r="F97">
        <v>14796</v>
      </c>
      <c r="G97">
        <v>70690</v>
      </c>
      <c r="J97">
        <v>148837</v>
      </c>
      <c r="K97">
        <v>0</v>
      </c>
      <c r="L97">
        <v>1</v>
      </c>
      <c r="M97">
        <v>1</v>
      </c>
      <c r="N97">
        <v>648951</v>
      </c>
      <c r="O97" t="s">
        <v>607</v>
      </c>
      <c r="P97">
        <v>334117</v>
      </c>
      <c r="Q97" t="s">
        <v>712</v>
      </c>
      <c r="R97">
        <v>1</v>
      </c>
      <c r="S97" t="s">
        <v>609</v>
      </c>
      <c r="T97">
        <v>1</v>
      </c>
      <c r="U97" t="s">
        <v>610</v>
      </c>
      <c r="V97">
        <v>1307474</v>
      </c>
      <c r="X97">
        <v>1307476</v>
      </c>
      <c r="Y97">
        <v>0</v>
      </c>
      <c r="Z97" s="5">
        <v>46007.254861111112</v>
      </c>
      <c r="AA97" s="5">
        <v>46007.254861111112</v>
      </c>
      <c r="AB97">
        <v>1</v>
      </c>
      <c r="AC97">
        <v>1</v>
      </c>
      <c r="AD97">
        <v>557612</v>
      </c>
      <c r="AE97">
        <v>0</v>
      </c>
      <c r="AF97" s="5">
        <v>46002.440972222219</v>
      </c>
      <c r="AG97" s="5">
        <v>46002.440972222219</v>
      </c>
      <c r="AH97" s="5">
        <v>46007.254861111112</v>
      </c>
      <c r="AI97">
        <v>1</v>
      </c>
    </row>
    <row r="98" spans="1:35" x14ac:dyDescent="0.2">
      <c r="A98" t="s">
        <v>719</v>
      </c>
      <c r="B98" t="s">
        <v>604</v>
      </c>
      <c r="C98" t="s">
        <v>634</v>
      </c>
      <c r="D98">
        <v>342123</v>
      </c>
      <c r="E98" t="s">
        <v>606</v>
      </c>
      <c r="F98">
        <v>14796</v>
      </c>
      <c r="G98">
        <v>70690</v>
      </c>
      <c r="J98">
        <v>148837</v>
      </c>
      <c r="K98">
        <v>0</v>
      </c>
      <c r="L98">
        <v>1</v>
      </c>
      <c r="M98">
        <v>1</v>
      </c>
      <c r="N98">
        <v>647404</v>
      </c>
      <c r="O98" t="s">
        <v>607</v>
      </c>
      <c r="P98">
        <v>334117</v>
      </c>
      <c r="Q98" t="s">
        <v>712</v>
      </c>
      <c r="R98">
        <v>1</v>
      </c>
      <c r="S98" t="s">
        <v>609</v>
      </c>
      <c r="T98">
        <v>1</v>
      </c>
      <c r="U98" t="s">
        <v>610</v>
      </c>
      <c r="V98">
        <v>1307475</v>
      </c>
      <c r="X98">
        <v>1307476</v>
      </c>
      <c r="Y98">
        <v>0</v>
      </c>
      <c r="Z98" s="5">
        <v>46007.254166666666</v>
      </c>
      <c r="AA98" s="5">
        <v>46007.254861111112</v>
      </c>
      <c r="AB98">
        <v>61</v>
      </c>
      <c r="AC98">
        <v>7</v>
      </c>
      <c r="AD98">
        <v>557612</v>
      </c>
      <c r="AE98">
        <v>0</v>
      </c>
      <c r="AF98" s="5">
        <v>46002.440972222219</v>
      </c>
      <c r="AG98" s="5">
        <v>46002.440972222219</v>
      </c>
      <c r="AH98" s="5">
        <v>46007.254861111112</v>
      </c>
      <c r="AI98">
        <v>1</v>
      </c>
    </row>
    <row r="99" spans="1:35" x14ac:dyDescent="0.2">
      <c r="A99" t="s">
        <v>720</v>
      </c>
      <c r="B99" t="s">
        <v>604</v>
      </c>
      <c r="C99" t="s">
        <v>634</v>
      </c>
      <c r="D99">
        <v>342123</v>
      </c>
      <c r="E99" t="s">
        <v>606</v>
      </c>
      <c r="F99">
        <v>14796</v>
      </c>
      <c r="G99">
        <v>70690</v>
      </c>
      <c r="J99">
        <v>148837</v>
      </c>
      <c r="K99">
        <v>0</v>
      </c>
      <c r="L99">
        <v>1</v>
      </c>
      <c r="M99">
        <v>1</v>
      </c>
      <c r="N99">
        <v>652934</v>
      </c>
      <c r="O99" t="s">
        <v>607</v>
      </c>
      <c r="P99">
        <v>334117</v>
      </c>
      <c r="Q99" t="s">
        <v>712</v>
      </c>
      <c r="R99">
        <v>1</v>
      </c>
      <c r="S99" t="s">
        <v>609</v>
      </c>
      <c r="T99">
        <v>1</v>
      </c>
      <c r="U99" t="s">
        <v>610</v>
      </c>
      <c r="V99">
        <v>1307475</v>
      </c>
      <c r="X99">
        <v>1307476</v>
      </c>
      <c r="Y99">
        <v>0</v>
      </c>
      <c r="Z99" s="5">
        <v>46007.25277777778</v>
      </c>
      <c r="AA99" s="5">
        <v>46007.25277777778</v>
      </c>
      <c r="AB99">
        <v>5</v>
      </c>
      <c r="AC99">
        <v>1</v>
      </c>
      <c r="AD99">
        <v>557612</v>
      </c>
      <c r="AE99">
        <v>0</v>
      </c>
      <c r="AF99" s="5">
        <v>46002.440972222219</v>
      </c>
      <c r="AG99" s="5">
        <v>46002.440972222219</v>
      </c>
      <c r="AH99" s="5">
        <v>46007.25277777778</v>
      </c>
      <c r="AI99">
        <v>1</v>
      </c>
    </row>
    <row r="100" spans="1:35" x14ac:dyDescent="0.2">
      <c r="A100" t="s">
        <v>721</v>
      </c>
      <c r="B100" t="s">
        <v>604</v>
      </c>
      <c r="C100" t="s">
        <v>634</v>
      </c>
      <c r="D100">
        <v>342123</v>
      </c>
      <c r="E100" t="s">
        <v>606</v>
      </c>
      <c r="F100">
        <v>14796</v>
      </c>
      <c r="G100">
        <v>70690</v>
      </c>
      <c r="J100">
        <v>148837</v>
      </c>
      <c r="K100">
        <v>0</v>
      </c>
      <c r="L100">
        <v>1</v>
      </c>
      <c r="M100">
        <v>1</v>
      </c>
      <c r="N100">
        <v>647499</v>
      </c>
      <c r="O100" t="s">
        <v>607</v>
      </c>
      <c r="P100">
        <v>334117</v>
      </c>
      <c r="Q100" t="s">
        <v>712</v>
      </c>
      <c r="R100">
        <v>1</v>
      </c>
      <c r="S100" t="s">
        <v>609</v>
      </c>
      <c r="T100">
        <v>1</v>
      </c>
      <c r="U100" t="s">
        <v>610</v>
      </c>
      <c r="V100">
        <v>1307477</v>
      </c>
      <c r="X100">
        <v>1307476</v>
      </c>
      <c r="Y100">
        <v>0</v>
      </c>
      <c r="Z100" s="5">
        <v>46007.253472222219</v>
      </c>
      <c r="AA100" s="5">
        <v>46007.253472222219</v>
      </c>
      <c r="AB100">
        <v>26</v>
      </c>
      <c r="AC100">
        <v>2</v>
      </c>
      <c r="AD100">
        <v>557612</v>
      </c>
      <c r="AE100">
        <v>0</v>
      </c>
      <c r="AF100" s="5">
        <v>46002.440972222219</v>
      </c>
      <c r="AG100" s="5">
        <v>46002.440972222219</v>
      </c>
      <c r="AH100" s="5">
        <v>46007.253472222219</v>
      </c>
      <c r="AI100">
        <v>1</v>
      </c>
    </row>
    <row r="101" spans="1:35" x14ac:dyDescent="0.2">
      <c r="A101" t="s">
        <v>722</v>
      </c>
      <c r="B101" t="s">
        <v>604</v>
      </c>
      <c r="C101" t="s">
        <v>634</v>
      </c>
      <c r="D101">
        <v>342123</v>
      </c>
      <c r="E101" t="s">
        <v>606</v>
      </c>
      <c r="F101">
        <v>14796</v>
      </c>
      <c r="G101">
        <v>70690</v>
      </c>
      <c r="J101">
        <v>148837</v>
      </c>
      <c r="K101">
        <v>0</v>
      </c>
      <c r="L101">
        <v>0</v>
      </c>
      <c r="M101">
        <v>0</v>
      </c>
      <c r="N101">
        <v>652933</v>
      </c>
      <c r="O101" t="s">
        <v>607</v>
      </c>
      <c r="P101">
        <v>334117</v>
      </c>
      <c r="Q101" t="s">
        <v>712</v>
      </c>
      <c r="R101">
        <v>1</v>
      </c>
      <c r="S101" t="s">
        <v>609</v>
      </c>
      <c r="T101">
        <v>1</v>
      </c>
      <c r="U101" t="s">
        <v>610</v>
      </c>
      <c r="V101">
        <v>-1</v>
      </c>
      <c r="X101">
        <v>1307476</v>
      </c>
      <c r="Z101" s="5">
        <v>46007.256249999999</v>
      </c>
      <c r="AA101" s="5">
        <v>46007.256249999999</v>
      </c>
      <c r="AC101">
        <v>0</v>
      </c>
      <c r="AD101">
        <v>557612</v>
      </c>
      <c r="AE101">
        <v>0</v>
      </c>
      <c r="AF101" s="5">
        <v>46002.440972222219</v>
      </c>
      <c r="AG101" s="5">
        <v>46002.440972222219</v>
      </c>
      <c r="AI101">
        <v>1</v>
      </c>
    </row>
    <row r="102" spans="1:35" x14ac:dyDescent="0.2">
      <c r="A102" t="s">
        <v>723</v>
      </c>
      <c r="B102" t="s">
        <v>604</v>
      </c>
      <c r="C102" t="s">
        <v>634</v>
      </c>
      <c r="D102">
        <v>342123</v>
      </c>
      <c r="E102" t="s">
        <v>606</v>
      </c>
      <c r="F102">
        <v>14796</v>
      </c>
      <c r="G102">
        <v>70690</v>
      </c>
      <c r="J102">
        <v>148837</v>
      </c>
      <c r="K102">
        <v>0</v>
      </c>
      <c r="L102">
        <v>1</v>
      </c>
      <c r="M102">
        <v>1</v>
      </c>
      <c r="N102">
        <v>657525</v>
      </c>
      <c r="O102" t="s">
        <v>607</v>
      </c>
      <c r="P102">
        <v>334117</v>
      </c>
      <c r="Q102" t="s">
        <v>712</v>
      </c>
      <c r="R102">
        <v>1</v>
      </c>
      <c r="S102" t="s">
        <v>609</v>
      </c>
      <c r="T102">
        <v>1</v>
      </c>
      <c r="U102" t="s">
        <v>610</v>
      </c>
      <c r="V102">
        <v>1307474</v>
      </c>
      <c r="X102">
        <v>1307476</v>
      </c>
      <c r="Y102">
        <v>0</v>
      </c>
      <c r="Z102" s="5">
        <v>46007.254166666666</v>
      </c>
      <c r="AA102" s="5">
        <v>46007.254166666666</v>
      </c>
      <c r="AB102">
        <v>28</v>
      </c>
      <c r="AC102">
        <v>1</v>
      </c>
      <c r="AD102">
        <v>557612</v>
      </c>
      <c r="AE102">
        <v>0</v>
      </c>
      <c r="AF102" s="5">
        <v>46002.440972222219</v>
      </c>
      <c r="AG102" s="5">
        <v>46002.440972222219</v>
      </c>
      <c r="AH102" s="5">
        <v>46007.254166666666</v>
      </c>
      <c r="AI102">
        <v>1</v>
      </c>
    </row>
    <row r="103" spans="1:35" x14ac:dyDescent="0.2">
      <c r="A103" t="s">
        <v>724</v>
      </c>
      <c r="B103" t="s">
        <v>604</v>
      </c>
      <c r="C103" t="s">
        <v>634</v>
      </c>
      <c r="D103">
        <v>342123</v>
      </c>
      <c r="E103" t="s">
        <v>606</v>
      </c>
      <c r="F103">
        <v>14796</v>
      </c>
      <c r="G103">
        <v>70690</v>
      </c>
      <c r="J103">
        <v>148837</v>
      </c>
      <c r="K103">
        <v>0</v>
      </c>
      <c r="L103">
        <v>1</v>
      </c>
      <c r="M103">
        <v>1</v>
      </c>
      <c r="N103">
        <v>647496</v>
      </c>
      <c r="O103" t="s">
        <v>607</v>
      </c>
      <c r="P103">
        <v>334117</v>
      </c>
      <c r="Q103" t="s">
        <v>712</v>
      </c>
      <c r="R103">
        <v>1</v>
      </c>
      <c r="S103" t="s">
        <v>609</v>
      </c>
      <c r="T103">
        <v>1</v>
      </c>
      <c r="U103" t="s">
        <v>610</v>
      </c>
      <c r="V103">
        <v>1307476</v>
      </c>
      <c r="X103">
        <v>1307476</v>
      </c>
      <c r="Y103">
        <v>1</v>
      </c>
      <c r="Z103" s="5">
        <v>46007.254166666666</v>
      </c>
      <c r="AA103" s="5">
        <v>46007.254861111112</v>
      </c>
      <c r="AB103">
        <v>20</v>
      </c>
      <c r="AC103">
        <v>1</v>
      </c>
      <c r="AD103">
        <v>557612</v>
      </c>
      <c r="AE103">
        <v>0</v>
      </c>
      <c r="AF103" s="5">
        <v>46002.440972222219</v>
      </c>
      <c r="AG103" s="5">
        <v>46002.440972222219</v>
      </c>
      <c r="AH103" s="5">
        <v>46007.254861111112</v>
      </c>
      <c r="AI103">
        <v>1</v>
      </c>
    </row>
    <row r="104" spans="1:35" x14ac:dyDescent="0.2">
      <c r="A104" t="s">
        <v>725</v>
      </c>
      <c r="B104" t="s">
        <v>604</v>
      </c>
      <c r="C104" t="s">
        <v>634</v>
      </c>
      <c r="D104">
        <v>342123</v>
      </c>
      <c r="E104" t="s">
        <v>606</v>
      </c>
      <c r="F104">
        <v>14796</v>
      </c>
      <c r="G104">
        <v>70690</v>
      </c>
      <c r="J104">
        <v>148837</v>
      </c>
      <c r="K104">
        <v>0</v>
      </c>
      <c r="L104">
        <v>1</v>
      </c>
      <c r="M104">
        <v>1</v>
      </c>
      <c r="N104">
        <v>652958</v>
      </c>
      <c r="O104" t="s">
        <v>607</v>
      </c>
      <c r="P104">
        <v>334117</v>
      </c>
      <c r="Q104" t="s">
        <v>712</v>
      </c>
      <c r="R104">
        <v>1</v>
      </c>
      <c r="S104" t="s">
        <v>609</v>
      </c>
      <c r="T104">
        <v>1</v>
      </c>
      <c r="U104" t="s">
        <v>610</v>
      </c>
      <c r="V104">
        <v>1307474</v>
      </c>
      <c r="X104">
        <v>1307476</v>
      </c>
      <c r="Y104">
        <v>0</v>
      </c>
      <c r="Z104" s="5">
        <v>46007.253472222219</v>
      </c>
      <c r="AA104" s="5">
        <v>46007.253472222219</v>
      </c>
      <c r="AB104">
        <v>13</v>
      </c>
      <c r="AC104">
        <v>1</v>
      </c>
      <c r="AD104">
        <v>557612</v>
      </c>
      <c r="AE104">
        <v>0</v>
      </c>
      <c r="AF104" s="5">
        <v>46002.440972222219</v>
      </c>
      <c r="AG104" s="5">
        <v>46002.440972222219</v>
      </c>
      <c r="AH104" s="5">
        <v>46007.253472222219</v>
      </c>
      <c r="AI104">
        <v>1</v>
      </c>
    </row>
    <row r="105" spans="1:35" x14ac:dyDescent="0.2">
      <c r="A105" t="s">
        <v>726</v>
      </c>
      <c r="B105" t="s">
        <v>604</v>
      </c>
      <c r="C105" t="s">
        <v>634</v>
      </c>
      <c r="D105">
        <v>342123</v>
      </c>
      <c r="E105" t="s">
        <v>606</v>
      </c>
      <c r="F105">
        <v>14796</v>
      </c>
      <c r="G105">
        <v>70690</v>
      </c>
      <c r="J105">
        <v>148837</v>
      </c>
      <c r="K105">
        <v>0</v>
      </c>
      <c r="L105">
        <v>1</v>
      </c>
      <c r="M105">
        <v>1</v>
      </c>
      <c r="N105">
        <v>647739</v>
      </c>
      <c r="O105" t="s">
        <v>607</v>
      </c>
      <c r="P105">
        <v>334117</v>
      </c>
      <c r="Q105" t="s">
        <v>712</v>
      </c>
      <c r="R105">
        <v>1</v>
      </c>
      <c r="S105" t="s">
        <v>609</v>
      </c>
      <c r="T105">
        <v>1</v>
      </c>
      <c r="U105" t="s">
        <v>610</v>
      </c>
      <c r="V105">
        <v>1307475</v>
      </c>
      <c r="X105">
        <v>1307476</v>
      </c>
      <c r="Y105">
        <v>0</v>
      </c>
      <c r="Z105" s="5">
        <v>46007.256249999999</v>
      </c>
      <c r="AA105" s="5">
        <v>46007.256249999999</v>
      </c>
      <c r="AB105">
        <v>10</v>
      </c>
      <c r="AC105">
        <v>1</v>
      </c>
      <c r="AD105">
        <v>557612</v>
      </c>
      <c r="AE105">
        <v>0</v>
      </c>
      <c r="AF105" s="5">
        <v>46002.440972222219</v>
      </c>
      <c r="AG105" s="5">
        <v>46002.440972222219</v>
      </c>
      <c r="AH105" s="5">
        <v>46007.256249999999</v>
      </c>
      <c r="AI105">
        <v>1</v>
      </c>
    </row>
    <row r="106" spans="1:35" x14ac:dyDescent="0.2">
      <c r="A106" t="s">
        <v>727</v>
      </c>
      <c r="B106" t="s">
        <v>604</v>
      </c>
      <c r="C106" t="s">
        <v>634</v>
      </c>
      <c r="D106">
        <v>342123</v>
      </c>
      <c r="E106" t="s">
        <v>606</v>
      </c>
      <c r="F106">
        <v>14796</v>
      </c>
      <c r="G106">
        <v>70690</v>
      </c>
      <c r="J106">
        <v>148837</v>
      </c>
      <c r="K106">
        <v>0</v>
      </c>
      <c r="L106">
        <v>1</v>
      </c>
      <c r="M106">
        <v>1</v>
      </c>
      <c r="N106">
        <v>648959</v>
      </c>
      <c r="O106" t="s">
        <v>607</v>
      </c>
      <c r="P106">
        <v>334117</v>
      </c>
      <c r="Q106" t="s">
        <v>712</v>
      </c>
      <c r="R106">
        <v>1</v>
      </c>
      <c r="S106" t="s">
        <v>609</v>
      </c>
      <c r="T106">
        <v>1</v>
      </c>
      <c r="U106" t="s">
        <v>610</v>
      </c>
      <c r="V106">
        <v>1307475</v>
      </c>
      <c r="X106">
        <v>1307476</v>
      </c>
      <c r="Y106">
        <v>0</v>
      </c>
      <c r="Z106" s="5">
        <v>46007.253472222219</v>
      </c>
      <c r="AA106" s="5">
        <v>46007.253472222219</v>
      </c>
      <c r="AB106">
        <v>18</v>
      </c>
      <c r="AC106">
        <v>1</v>
      </c>
      <c r="AD106">
        <v>557612</v>
      </c>
      <c r="AE106">
        <v>0</v>
      </c>
      <c r="AF106" s="5">
        <v>46002.440972222219</v>
      </c>
      <c r="AG106" s="5">
        <v>46002.440972222219</v>
      </c>
      <c r="AH106" s="5">
        <v>46007.253472222219</v>
      </c>
      <c r="AI106">
        <v>1</v>
      </c>
    </row>
    <row r="107" spans="1:35" x14ac:dyDescent="0.2">
      <c r="A107" t="s">
        <v>728</v>
      </c>
      <c r="B107" t="s">
        <v>604</v>
      </c>
      <c r="C107" t="s">
        <v>634</v>
      </c>
      <c r="D107">
        <v>342123</v>
      </c>
      <c r="E107" t="s">
        <v>606</v>
      </c>
      <c r="F107">
        <v>14796</v>
      </c>
      <c r="G107">
        <v>70690</v>
      </c>
      <c r="J107">
        <v>148837</v>
      </c>
      <c r="K107">
        <v>0</v>
      </c>
      <c r="L107">
        <v>1</v>
      </c>
      <c r="M107">
        <v>1</v>
      </c>
      <c r="N107">
        <v>647306</v>
      </c>
      <c r="O107" t="s">
        <v>607</v>
      </c>
      <c r="P107">
        <v>334117</v>
      </c>
      <c r="Q107" t="s">
        <v>712</v>
      </c>
      <c r="R107">
        <v>1</v>
      </c>
      <c r="S107" t="s">
        <v>609</v>
      </c>
      <c r="T107">
        <v>1</v>
      </c>
      <c r="U107" t="s">
        <v>610</v>
      </c>
      <c r="V107">
        <v>1307474</v>
      </c>
      <c r="X107">
        <v>1307476</v>
      </c>
      <c r="Y107">
        <v>0</v>
      </c>
      <c r="Z107" s="5">
        <v>46007.254861111112</v>
      </c>
      <c r="AA107" s="5">
        <v>46007.255555555559</v>
      </c>
      <c r="AB107">
        <v>39</v>
      </c>
      <c r="AC107">
        <v>1</v>
      </c>
      <c r="AD107">
        <v>557612</v>
      </c>
      <c r="AE107">
        <v>0</v>
      </c>
      <c r="AF107" s="5">
        <v>46002.440972222219</v>
      </c>
      <c r="AG107" s="5">
        <v>46002.440972222219</v>
      </c>
      <c r="AH107" s="5">
        <v>46007.255555555559</v>
      </c>
      <c r="AI107">
        <v>1</v>
      </c>
    </row>
    <row r="108" spans="1:35" x14ac:dyDescent="0.2">
      <c r="A108" t="s">
        <v>729</v>
      </c>
      <c r="B108" t="s">
        <v>604</v>
      </c>
      <c r="C108" t="s">
        <v>605</v>
      </c>
      <c r="D108">
        <v>342118</v>
      </c>
      <c r="E108" t="s">
        <v>606</v>
      </c>
      <c r="F108">
        <v>14796</v>
      </c>
      <c r="G108">
        <v>70690</v>
      </c>
      <c r="J108">
        <v>148836</v>
      </c>
      <c r="K108">
        <v>0</v>
      </c>
      <c r="L108">
        <v>1</v>
      </c>
      <c r="M108">
        <v>1</v>
      </c>
      <c r="N108">
        <v>647496</v>
      </c>
      <c r="O108" t="s">
        <v>607</v>
      </c>
      <c r="P108">
        <v>321830</v>
      </c>
      <c r="Q108" t="s">
        <v>730</v>
      </c>
      <c r="R108">
        <v>1</v>
      </c>
      <c r="S108" t="s">
        <v>609</v>
      </c>
      <c r="T108">
        <v>0</v>
      </c>
      <c r="U108" t="s">
        <v>610</v>
      </c>
      <c r="V108">
        <v>1259499</v>
      </c>
      <c r="X108">
        <v>1259500</v>
      </c>
      <c r="Y108">
        <v>0</v>
      </c>
      <c r="Z108" s="5">
        <v>46007.261111111111</v>
      </c>
      <c r="AA108" s="5">
        <v>46007.261111111111</v>
      </c>
      <c r="AB108">
        <v>30</v>
      </c>
      <c r="AC108">
        <v>1</v>
      </c>
      <c r="AD108">
        <v>557612</v>
      </c>
      <c r="AE108">
        <v>0</v>
      </c>
      <c r="AF108" s="5">
        <v>46002.440972222219</v>
      </c>
      <c r="AG108" s="5">
        <v>46002.440972222219</v>
      </c>
      <c r="AH108" s="5">
        <v>46007.261111111111</v>
      </c>
      <c r="AI108">
        <v>1</v>
      </c>
    </row>
    <row r="109" spans="1:35" x14ac:dyDescent="0.2">
      <c r="A109" t="s">
        <v>731</v>
      </c>
      <c r="B109" t="s">
        <v>604</v>
      </c>
      <c r="C109" t="s">
        <v>605</v>
      </c>
      <c r="D109">
        <v>342118</v>
      </c>
      <c r="E109" t="s">
        <v>606</v>
      </c>
      <c r="F109">
        <v>14796</v>
      </c>
      <c r="G109">
        <v>70690</v>
      </c>
      <c r="J109">
        <v>148836</v>
      </c>
      <c r="K109">
        <v>0</v>
      </c>
      <c r="L109">
        <v>1</v>
      </c>
      <c r="M109">
        <v>1</v>
      </c>
      <c r="N109">
        <v>648951</v>
      </c>
      <c r="O109" t="s">
        <v>607</v>
      </c>
      <c r="P109">
        <v>321830</v>
      </c>
      <c r="Q109" t="s">
        <v>730</v>
      </c>
      <c r="R109">
        <v>1</v>
      </c>
      <c r="S109" t="s">
        <v>609</v>
      </c>
      <c r="T109">
        <v>0</v>
      </c>
      <c r="U109" t="s">
        <v>610</v>
      </c>
      <c r="V109">
        <v>1259498</v>
      </c>
      <c r="X109">
        <v>1259500</v>
      </c>
      <c r="Y109">
        <v>0</v>
      </c>
      <c r="Z109" s="5">
        <v>46007.260416666664</v>
      </c>
      <c r="AA109" s="5">
        <v>46007.261111111111</v>
      </c>
      <c r="AB109">
        <v>21</v>
      </c>
      <c r="AC109">
        <v>1</v>
      </c>
      <c r="AD109">
        <v>557612</v>
      </c>
      <c r="AE109">
        <v>0</v>
      </c>
      <c r="AF109" s="5">
        <v>46002.440972222219</v>
      </c>
      <c r="AG109" s="5">
        <v>46002.440972222219</v>
      </c>
      <c r="AH109" s="5">
        <v>46007.261111111111</v>
      </c>
      <c r="AI109">
        <v>1</v>
      </c>
    </row>
    <row r="110" spans="1:35" x14ac:dyDescent="0.2">
      <c r="A110" t="s">
        <v>732</v>
      </c>
      <c r="B110" t="s">
        <v>604</v>
      </c>
      <c r="C110" t="s">
        <v>605</v>
      </c>
      <c r="D110">
        <v>342118</v>
      </c>
      <c r="E110" t="s">
        <v>606</v>
      </c>
      <c r="F110">
        <v>14796</v>
      </c>
      <c r="G110">
        <v>70690</v>
      </c>
      <c r="J110">
        <v>148836</v>
      </c>
      <c r="K110">
        <v>0</v>
      </c>
      <c r="L110">
        <v>1</v>
      </c>
      <c r="M110">
        <v>1</v>
      </c>
      <c r="N110">
        <v>647426</v>
      </c>
      <c r="O110" t="s">
        <v>607</v>
      </c>
      <c r="P110">
        <v>321830</v>
      </c>
      <c r="Q110" t="s">
        <v>730</v>
      </c>
      <c r="R110">
        <v>1</v>
      </c>
      <c r="S110" t="s">
        <v>609</v>
      </c>
      <c r="T110">
        <v>0</v>
      </c>
      <c r="U110" t="s">
        <v>610</v>
      </c>
      <c r="V110">
        <v>1259499</v>
      </c>
      <c r="X110">
        <v>1259500</v>
      </c>
      <c r="Y110">
        <v>0</v>
      </c>
      <c r="Z110" s="5">
        <v>46007.260416666664</v>
      </c>
      <c r="AA110" s="5">
        <v>46007.260416666664</v>
      </c>
      <c r="AB110">
        <v>20</v>
      </c>
      <c r="AC110">
        <v>1</v>
      </c>
      <c r="AD110">
        <v>557612</v>
      </c>
      <c r="AE110">
        <v>0</v>
      </c>
      <c r="AF110" s="5">
        <v>46002.440972222219</v>
      </c>
      <c r="AG110" s="5">
        <v>46002.440972222219</v>
      </c>
      <c r="AH110" s="5">
        <v>46007.260416666664</v>
      </c>
      <c r="AI110">
        <v>1</v>
      </c>
    </row>
    <row r="111" spans="1:35" x14ac:dyDescent="0.2">
      <c r="A111" t="s">
        <v>733</v>
      </c>
      <c r="B111" t="s">
        <v>604</v>
      </c>
      <c r="C111" t="s">
        <v>605</v>
      </c>
      <c r="D111">
        <v>342118</v>
      </c>
      <c r="E111" t="s">
        <v>606</v>
      </c>
      <c r="F111">
        <v>14796</v>
      </c>
      <c r="G111">
        <v>70690</v>
      </c>
      <c r="J111">
        <v>148836</v>
      </c>
      <c r="K111">
        <v>0</v>
      </c>
      <c r="L111">
        <v>1</v>
      </c>
      <c r="M111">
        <v>1</v>
      </c>
      <c r="N111">
        <v>648959</v>
      </c>
      <c r="O111" t="s">
        <v>607</v>
      </c>
      <c r="P111">
        <v>321830</v>
      </c>
      <c r="Q111" t="s">
        <v>730</v>
      </c>
      <c r="R111">
        <v>1</v>
      </c>
      <c r="S111" t="s">
        <v>609</v>
      </c>
      <c r="T111">
        <v>0</v>
      </c>
      <c r="U111" t="s">
        <v>610</v>
      </c>
      <c r="V111">
        <v>1259500</v>
      </c>
      <c r="X111">
        <v>1259500</v>
      </c>
      <c r="Y111">
        <v>1</v>
      </c>
      <c r="Z111" s="5">
        <v>46007.261111111111</v>
      </c>
      <c r="AA111" s="5">
        <v>46007.261805555558</v>
      </c>
      <c r="AB111">
        <v>45</v>
      </c>
      <c r="AC111">
        <v>4</v>
      </c>
      <c r="AD111">
        <v>557612</v>
      </c>
      <c r="AE111">
        <v>0</v>
      </c>
      <c r="AF111" s="5">
        <v>46002.440972222219</v>
      </c>
      <c r="AG111" s="5">
        <v>46002.440972222219</v>
      </c>
      <c r="AH111" s="5">
        <v>46007.261805555558</v>
      </c>
      <c r="AI111">
        <v>1</v>
      </c>
    </row>
    <row r="112" spans="1:35" x14ac:dyDescent="0.2">
      <c r="A112" t="s">
        <v>734</v>
      </c>
      <c r="B112" t="s">
        <v>604</v>
      </c>
      <c r="C112" t="s">
        <v>605</v>
      </c>
      <c r="D112">
        <v>342118</v>
      </c>
      <c r="E112" t="s">
        <v>606</v>
      </c>
      <c r="F112">
        <v>14796</v>
      </c>
      <c r="G112">
        <v>70690</v>
      </c>
      <c r="J112">
        <v>148836</v>
      </c>
      <c r="K112">
        <v>0</v>
      </c>
      <c r="L112">
        <v>1</v>
      </c>
      <c r="M112">
        <v>1</v>
      </c>
      <c r="N112">
        <v>647748</v>
      </c>
      <c r="O112" t="s">
        <v>607</v>
      </c>
      <c r="P112">
        <v>321830</v>
      </c>
      <c r="Q112" t="s">
        <v>730</v>
      </c>
      <c r="R112">
        <v>1</v>
      </c>
      <c r="S112" t="s">
        <v>609</v>
      </c>
      <c r="T112">
        <v>0</v>
      </c>
      <c r="U112" t="s">
        <v>610</v>
      </c>
      <c r="V112">
        <v>1259500</v>
      </c>
      <c r="X112">
        <v>1259500</v>
      </c>
      <c r="Y112">
        <v>1</v>
      </c>
      <c r="Z112" s="5">
        <v>46007.260416666664</v>
      </c>
      <c r="AA112" s="5">
        <v>46007.261111111111</v>
      </c>
      <c r="AB112">
        <v>26</v>
      </c>
      <c r="AC112">
        <v>2</v>
      </c>
      <c r="AD112">
        <v>557612</v>
      </c>
      <c r="AE112">
        <v>0</v>
      </c>
      <c r="AF112" s="5">
        <v>46002.440972222219</v>
      </c>
      <c r="AG112" s="5">
        <v>46002.440972222219</v>
      </c>
      <c r="AH112" s="5">
        <v>46007.261111111111</v>
      </c>
      <c r="AI112">
        <v>1</v>
      </c>
    </row>
    <row r="113" spans="1:35" x14ac:dyDescent="0.2">
      <c r="A113" t="s">
        <v>735</v>
      </c>
      <c r="B113" t="s">
        <v>604</v>
      </c>
      <c r="C113" t="s">
        <v>605</v>
      </c>
      <c r="D113">
        <v>342118</v>
      </c>
      <c r="E113" t="s">
        <v>606</v>
      </c>
      <c r="F113">
        <v>14796</v>
      </c>
      <c r="G113">
        <v>70690</v>
      </c>
      <c r="J113">
        <v>148836</v>
      </c>
      <c r="K113">
        <v>0</v>
      </c>
      <c r="L113">
        <v>1</v>
      </c>
      <c r="M113">
        <v>1</v>
      </c>
      <c r="N113">
        <v>647433</v>
      </c>
      <c r="O113" t="s">
        <v>607</v>
      </c>
      <c r="P113">
        <v>321830</v>
      </c>
      <c r="Q113" t="s">
        <v>730</v>
      </c>
      <c r="R113">
        <v>1</v>
      </c>
      <c r="S113" t="s">
        <v>609</v>
      </c>
      <c r="T113">
        <v>0</v>
      </c>
      <c r="U113" t="s">
        <v>610</v>
      </c>
      <c r="V113">
        <v>1259500</v>
      </c>
      <c r="X113">
        <v>1259500</v>
      </c>
      <c r="Y113">
        <v>1</v>
      </c>
      <c r="Z113" s="5">
        <v>46007.260416666664</v>
      </c>
      <c r="AA113" s="5">
        <v>46007.261111111111</v>
      </c>
      <c r="AB113">
        <v>67</v>
      </c>
      <c r="AC113">
        <v>1</v>
      </c>
      <c r="AD113">
        <v>557612</v>
      </c>
      <c r="AE113">
        <v>0</v>
      </c>
      <c r="AF113" s="5">
        <v>46002.440972222219</v>
      </c>
      <c r="AG113" s="5">
        <v>46002.440972222219</v>
      </c>
      <c r="AH113" s="5">
        <v>46007.261111111111</v>
      </c>
      <c r="AI113">
        <v>1</v>
      </c>
    </row>
    <row r="114" spans="1:35" x14ac:dyDescent="0.2">
      <c r="A114" t="s">
        <v>736</v>
      </c>
      <c r="B114" t="s">
        <v>604</v>
      </c>
      <c r="C114" t="s">
        <v>605</v>
      </c>
      <c r="D114">
        <v>342118</v>
      </c>
      <c r="E114" t="s">
        <v>606</v>
      </c>
      <c r="F114">
        <v>14796</v>
      </c>
      <c r="G114">
        <v>70690</v>
      </c>
      <c r="J114">
        <v>148836</v>
      </c>
      <c r="K114">
        <v>0</v>
      </c>
      <c r="L114">
        <v>1</v>
      </c>
      <c r="M114">
        <v>1</v>
      </c>
      <c r="N114">
        <v>647739</v>
      </c>
      <c r="O114" t="s">
        <v>607</v>
      </c>
      <c r="P114">
        <v>321830</v>
      </c>
      <c r="Q114" t="s">
        <v>730</v>
      </c>
      <c r="R114">
        <v>1</v>
      </c>
      <c r="S114" t="s">
        <v>609</v>
      </c>
      <c r="T114">
        <v>0</v>
      </c>
      <c r="U114" t="s">
        <v>610</v>
      </c>
      <c r="V114">
        <v>1259499</v>
      </c>
      <c r="X114">
        <v>1259500</v>
      </c>
      <c r="Y114">
        <v>0</v>
      </c>
      <c r="Z114" s="5">
        <v>46007.261111111111</v>
      </c>
      <c r="AA114" s="5">
        <v>46007.261111111111</v>
      </c>
      <c r="AB114">
        <v>44</v>
      </c>
      <c r="AC114">
        <v>1</v>
      </c>
      <c r="AD114">
        <v>557612</v>
      </c>
      <c r="AE114">
        <v>0</v>
      </c>
      <c r="AF114" s="5">
        <v>46002.440972222219</v>
      </c>
      <c r="AG114" s="5">
        <v>46002.440972222219</v>
      </c>
      <c r="AH114" s="5">
        <v>46007.261111111111</v>
      </c>
      <c r="AI114">
        <v>1</v>
      </c>
    </row>
    <row r="115" spans="1:35" x14ac:dyDescent="0.2">
      <c r="A115" t="s">
        <v>737</v>
      </c>
      <c r="B115" t="s">
        <v>604</v>
      </c>
      <c r="C115" t="s">
        <v>605</v>
      </c>
      <c r="D115">
        <v>342118</v>
      </c>
      <c r="E115" t="s">
        <v>606</v>
      </c>
      <c r="F115">
        <v>14796</v>
      </c>
      <c r="G115">
        <v>70690</v>
      </c>
      <c r="J115">
        <v>148836</v>
      </c>
      <c r="K115">
        <v>0</v>
      </c>
      <c r="L115">
        <v>1</v>
      </c>
      <c r="M115">
        <v>1</v>
      </c>
      <c r="N115">
        <v>647499</v>
      </c>
      <c r="O115" t="s">
        <v>607</v>
      </c>
      <c r="P115">
        <v>321830</v>
      </c>
      <c r="Q115" t="s">
        <v>730</v>
      </c>
      <c r="R115">
        <v>1</v>
      </c>
      <c r="S115" t="s">
        <v>609</v>
      </c>
      <c r="T115">
        <v>0</v>
      </c>
      <c r="U115" t="s">
        <v>610</v>
      </c>
      <c r="V115">
        <v>1259501</v>
      </c>
      <c r="X115">
        <v>1259500</v>
      </c>
      <c r="Y115">
        <v>0</v>
      </c>
      <c r="Z115" s="5">
        <v>46007.260416666664</v>
      </c>
      <c r="AA115" s="5">
        <v>46007.260416666664</v>
      </c>
      <c r="AB115">
        <v>19</v>
      </c>
      <c r="AC115">
        <v>2</v>
      </c>
      <c r="AD115">
        <v>557612</v>
      </c>
      <c r="AE115">
        <v>0</v>
      </c>
      <c r="AF115" s="5">
        <v>46002.440972222219</v>
      </c>
      <c r="AG115" s="5">
        <v>46002.440972222219</v>
      </c>
      <c r="AH115" s="5">
        <v>46007.260416666664</v>
      </c>
      <c r="AI115">
        <v>1</v>
      </c>
    </row>
    <row r="116" spans="1:35" x14ac:dyDescent="0.2">
      <c r="A116" t="s">
        <v>738</v>
      </c>
      <c r="B116" t="s">
        <v>604</v>
      </c>
      <c r="C116" t="s">
        <v>605</v>
      </c>
      <c r="D116">
        <v>342118</v>
      </c>
      <c r="E116" t="s">
        <v>606</v>
      </c>
      <c r="F116">
        <v>14796</v>
      </c>
      <c r="G116">
        <v>70690</v>
      </c>
      <c r="J116">
        <v>148836</v>
      </c>
      <c r="K116">
        <v>0</v>
      </c>
      <c r="L116">
        <v>1</v>
      </c>
      <c r="M116">
        <v>1</v>
      </c>
      <c r="N116">
        <v>657525</v>
      </c>
      <c r="O116" t="s">
        <v>607</v>
      </c>
      <c r="P116">
        <v>321830</v>
      </c>
      <c r="Q116" t="s">
        <v>730</v>
      </c>
      <c r="R116">
        <v>1</v>
      </c>
      <c r="S116" t="s">
        <v>609</v>
      </c>
      <c r="T116">
        <v>0</v>
      </c>
      <c r="U116" t="s">
        <v>610</v>
      </c>
      <c r="V116">
        <v>1259500</v>
      </c>
      <c r="X116">
        <v>1259500</v>
      </c>
      <c r="Y116">
        <v>1</v>
      </c>
      <c r="Z116" s="5">
        <v>46007.261111111111</v>
      </c>
      <c r="AA116" s="5">
        <v>46007.261805555558</v>
      </c>
      <c r="AB116">
        <v>34</v>
      </c>
      <c r="AC116">
        <v>1</v>
      </c>
      <c r="AD116">
        <v>557612</v>
      </c>
      <c r="AE116">
        <v>0</v>
      </c>
      <c r="AF116" s="5">
        <v>46002.440972222219</v>
      </c>
      <c r="AG116" s="5">
        <v>46002.440972222219</v>
      </c>
      <c r="AH116" s="5">
        <v>46007.261805555558</v>
      </c>
      <c r="AI116">
        <v>1</v>
      </c>
    </row>
    <row r="117" spans="1:35" x14ac:dyDescent="0.2">
      <c r="A117" t="s">
        <v>739</v>
      </c>
      <c r="B117" t="s">
        <v>604</v>
      </c>
      <c r="C117" t="s">
        <v>605</v>
      </c>
      <c r="D117">
        <v>342118</v>
      </c>
      <c r="E117" t="s">
        <v>606</v>
      </c>
      <c r="F117">
        <v>14796</v>
      </c>
      <c r="G117">
        <v>70690</v>
      </c>
      <c r="J117">
        <v>148836</v>
      </c>
      <c r="K117">
        <v>0</v>
      </c>
      <c r="L117">
        <v>1</v>
      </c>
      <c r="M117">
        <v>1</v>
      </c>
      <c r="N117">
        <v>651452</v>
      </c>
      <c r="O117" t="s">
        <v>607</v>
      </c>
      <c r="P117">
        <v>321830</v>
      </c>
      <c r="Q117" t="s">
        <v>730</v>
      </c>
      <c r="R117">
        <v>1</v>
      </c>
      <c r="S117" t="s">
        <v>609</v>
      </c>
      <c r="T117">
        <v>0</v>
      </c>
      <c r="U117" t="s">
        <v>610</v>
      </c>
      <c r="V117">
        <v>1259500</v>
      </c>
      <c r="X117">
        <v>1259500</v>
      </c>
      <c r="Y117">
        <v>1</v>
      </c>
      <c r="Z117" s="5">
        <v>46007.260416666664</v>
      </c>
      <c r="AA117" s="5">
        <v>46007.260416666664</v>
      </c>
      <c r="AB117">
        <v>23</v>
      </c>
      <c r="AC117">
        <v>2</v>
      </c>
      <c r="AD117">
        <v>557612</v>
      </c>
      <c r="AE117">
        <v>0</v>
      </c>
      <c r="AF117" s="5">
        <v>46002.440972222219</v>
      </c>
      <c r="AG117" s="5">
        <v>46002.440972222219</v>
      </c>
      <c r="AH117" s="5">
        <v>46007.260416666664</v>
      </c>
      <c r="AI117">
        <v>1</v>
      </c>
    </row>
    <row r="118" spans="1:35" x14ac:dyDescent="0.2">
      <c r="A118" t="s">
        <v>740</v>
      </c>
      <c r="B118" t="s">
        <v>604</v>
      </c>
      <c r="C118" t="s">
        <v>605</v>
      </c>
      <c r="D118">
        <v>342118</v>
      </c>
      <c r="E118" t="s">
        <v>606</v>
      </c>
      <c r="F118">
        <v>14796</v>
      </c>
      <c r="G118">
        <v>70690</v>
      </c>
      <c r="J118">
        <v>148836</v>
      </c>
      <c r="K118">
        <v>0</v>
      </c>
      <c r="L118">
        <v>1</v>
      </c>
      <c r="M118">
        <v>1</v>
      </c>
      <c r="N118">
        <v>648953</v>
      </c>
      <c r="O118" t="s">
        <v>607</v>
      </c>
      <c r="P118">
        <v>321830</v>
      </c>
      <c r="Q118" t="s">
        <v>730</v>
      </c>
      <c r="R118">
        <v>1</v>
      </c>
      <c r="S118" t="s">
        <v>609</v>
      </c>
      <c r="T118">
        <v>0</v>
      </c>
      <c r="U118" t="s">
        <v>610</v>
      </c>
      <c r="V118">
        <v>1259499</v>
      </c>
      <c r="X118">
        <v>1259500</v>
      </c>
      <c r="Y118">
        <v>0</v>
      </c>
      <c r="Z118" s="5">
        <v>46007.260416666664</v>
      </c>
      <c r="AA118" s="5">
        <v>46007.260416666664</v>
      </c>
      <c r="AB118">
        <v>3</v>
      </c>
      <c r="AC118">
        <v>1</v>
      </c>
      <c r="AD118">
        <v>557612</v>
      </c>
      <c r="AE118">
        <v>0</v>
      </c>
      <c r="AF118" s="5">
        <v>46002.440972222219</v>
      </c>
      <c r="AG118" s="5">
        <v>46002.440972222219</v>
      </c>
      <c r="AH118" s="5">
        <v>46007.260416666664</v>
      </c>
      <c r="AI118">
        <v>1</v>
      </c>
    </row>
    <row r="119" spans="1:35" x14ac:dyDescent="0.2">
      <c r="A119" t="s">
        <v>741</v>
      </c>
      <c r="B119" t="s">
        <v>604</v>
      </c>
      <c r="C119" t="s">
        <v>605</v>
      </c>
      <c r="D119">
        <v>342118</v>
      </c>
      <c r="E119" t="s">
        <v>606</v>
      </c>
      <c r="F119">
        <v>14796</v>
      </c>
      <c r="G119">
        <v>70690</v>
      </c>
      <c r="J119">
        <v>148836</v>
      </c>
      <c r="K119">
        <v>0</v>
      </c>
      <c r="L119">
        <v>1</v>
      </c>
      <c r="M119">
        <v>1</v>
      </c>
      <c r="N119">
        <v>652934</v>
      </c>
      <c r="O119" t="s">
        <v>607</v>
      </c>
      <c r="P119">
        <v>321830</v>
      </c>
      <c r="Q119" t="s">
        <v>730</v>
      </c>
      <c r="R119">
        <v>1</v>
      </c>
      <c r="S119" t="s">
        <v>609</v>
      </c>
      <c r="T119">
        <v>0</v>
      </c>
      <c r="U119" t="s">
        <v>610</v>
      </c>
      <c r="V119">
        <v>1259498</v>
      </c>
      <c r="X119">
        <v>1259500</v>
      </c>
      <c r="Y119">
        <v>0</v>
      </c>
      <c r="Z119" s="5">
        <v>46007.259722222225</v>
      </c>
      <c r="AA119" s="5">
        <v>46007.259722222225</v>
      </c>
      <c r="AB119">
        <v>60</v>
      </c>
      <c r="AC119">
        <v>1</v>
      </c>
      <c r="AD119">
        <v>557612</v>
      </c>
      <c r="AE119">
        <v>0</v>
      </c>
      <c r="AF119" s="5">
        <v>46002.440972222219</v>
      </c>
      <c r="AG119" s="5">
        <v>46002.440972222219</v>
      </c>
      <c r="AH119" s="5">
        <v>46007.259722222225</v>
      </c>
      <c r="AI119">
        <v>1</v>
      </c>
    </row>
    <row r="120" spans="1:35" x14ac:dyDescent="0.2">
      <c r="A120" t="s">
        <v>742</v>
      </c>
      <c r="B120" t="s">
        <v>604</v>
      </c>
      <c r="C120" t="s">
        <v>605</v>
      </c>
      <c r="D120">
        <v>342118</v>
      </c>
      <c r="E120" t="s">
        <v>606</v>
      </c>
      <c r="F120">
        <v>14796</v>
      </c>
      <c r="G120">
        <v>70690</v>
      </c>
      <c r="J120">
        <v>148836</v>
      </c>
      <c r="K120">
        <v>0</v>
      </c>
      <c r="L120">
        <v>1</v>
      </c>
      <c r="M120">
        <v>1</v>
      </c>
      <c r="N120">
        <v>647404</v>
      </c>
      <c r="O120" t="s">
        <v>607</v>
      </c>
      <c r="P120">
        <v>321830</v>
      </c>
      <c r="Q120" t="s">
        <v>730</v>
      </c>
      <c r="R120">
        <v>1</v>
      </c>
      <c r="S120" t="s">
        <v>609</v>
      </c>
      <c r="T120">
        <v>0</v>
      </c>
      <c r="U120" t="s">
        <v>610</v>
      </c>
      <c r="V120">
        <v>1259500</v>
      </c>
      <c r="X120">
        <v>1259500</v>
      </c>
      <c r="Y120">
        <v>1</v>
      </c>
      <c r="Z120" s="5">
        <v>46007.260416666664</v>
      </c>
      <c r="AA120" s="5">
        <v>46007.260416666664</v>
      </c>
      <c r="AB120">
        <v>25</v>
      </c>
      <c r="AC120">
        <v>1</v>
      </c>
      <c r="AD120">
        <v>557612</v>
      </c>
      <c r="AE120">
        <v>0</v>
      </c>
      <c r="AF120" s="5">
        <v>46002.440972222219</v>
      </c>
      <c r="AG120" s="5">
        <v>46002.440972222219</v>
      </c>
      <c r="AH120" s="5">
        <v>46007.260416666664</v>
      </c>
      <c r="AI120">
        <v>1</v>
      </c>
    </row>
    <row r="121" spans="1:35" x14ac:dyDescent="0.2">
      <c r="A121" t="s">
        <v>743</v>
      </c>
      <c r="B121" t="s">
        <v>604</v>
      </c>
      <c r="C121" t="s">
        <v>605</v>
      </c>
      <c r="D121">
        <v>342118</v>
      </c>
      <c r="E121" t="s">
        <v>606</v>
      </c>
      <c r="F121">
        <v>14796</v>
      </c>
      <c r="G121">
        <v>70690</v>
      </c>
      <c r="J121">
        <v>148836</v>
      </c>
      <c r="K121">
        <v>0</v>
      </c>
      <c r="L121">
        <v>1</v>
      </c>
      <c r="M121">
        <v>1</v>
      </c>
      <c r="N121">
        <v>647306</v>
      </c>
      <c r="O121" t="s">
        <v>607</v>
      </c>
      <c r="P121">
        <v>321830</v>
      </c>
      <c r="Q121" t="s">
        <v>730</v>
      </c>
      <c r="R121">
        <v>1</v>
      </c>
      <c r="S121" t="s">
        <v>609</v>
      </c>
      <c r="T121">
        <v>0</v>
      </c>
      <c r="U121" t="s">
        <v>610</v>
      </c>
      <c r="V121">
        <v>1259500</v>
      </c>
      <c r="X121">
        <v>1259500</v>
      </c>
      <c r="Y121">
        <v>1</v>
      </c>
      <c r="Z121" s="5">
        <v>46007.260416666664</v>
      </c>
      <c r="AA121" s="5">
        <v>46007.260416666664</v>
      </c>
      <c r="AB121">
        <v>24</v>
      </c>
      <c r="AC121">
        <v>1</v>
      </c>
      <c r="AD121">
        <v>557612</v>
      </c>
      <c r="AE121">
        <v>0</v>
      </c>
      <c r="AF121" s="5">
        <v>46002.440972222219</v>
      </c>
      <c r="AG121" s="5">
        <v>46002.440972222219</v>
      </c>
      <c r="AH121" s="5">
        <v>46007.260416666664</v>
      </c>
      <c r="AI121">
        <v>1</v>
      </c>
    </row>
    <row r="122" spans="1:35" x14ac:dyDescent="0.2">
      <c r="A122" t="s">
        <v>744</v>
      </c>
      <c r="B122" t="s">
        <v>604</v>
      </c>
      <c r="C122" t="s">
        <v>634</v>
      </c>
      <c r="D122">
        <v>342119</v>
      </c>
      <c r="E122" t="s">
        <v>606</v>
      </c>
      <c r="F122">
        <v>14796</v>
      </c>
      <c r="G122">
        <v>70690</v>
      </c>
      <c r="J122">
        <v>148837</v>
      </c>
      <c r="K122">
        <v>0</v>
      </c>
      <c r="L122">
        <v>1</v>
      </c>
      <c r="M122">
        <v>1</v>
      </c>
      <c r="N122">
        <v>648951</v>
      </c>
      <c r="O122" t="s">
        <v>607</v>
      </c>
      <c r="P122">
        <v>339665</v>
      </c>
      <c r="Q122" t="s">
        <v>745</v>
      </c>
      <c r="R122">
        <v>1</v>
      </c>
      <c r="S122" t="s">
        <v>609</v>
      </c>
      <c r="T122">
        <v>1</v>
      </c>
      <c r="U122" t="s">
        <v>610</v>
      </c>
      <c r="V122">
        <v>1327904</v>
      </c>
      <c r="X122">
        <v>1327905</v>
      </c>
      <c r="Y122">
        <v>0</v>
      </c>
      <c r="Z122" s="5">
        <v>46007.254166666666</v>
      </c>
      <c r="AA122" s="5">
        <v>46007.254861111112</v>
      </c>
      <c r="AB122">
        <v>43</v>
      </c>
      <c r="AC122">
        <v>3</v>
      </c>
      <c r="AD122">
        <v>557612</v>
      </c>
      <c r="AE122">
        <v>0</v>
      </c>
      <c r="AF122" s="5">
        <v>46002.440972222219</v>
      </c>
      <c r="AG122" s="5">
        <v>46002.440972222219</v>
      </c>
      <c r="AH122" s="5">
        <v>46007.254861111112</v>
      </c>
      <c r="AI122">
        <v>1</v>
      </c>
    </row>
    <row r="123" spans="1:35" x14ac:dyDescent="0.2">
      <c r="A123" t="s">
        <v>746</v>
      </c>
      <c r="B123" t="s">
        <v>604</v>
      </c>
      <c r="C123" t="s">
        <v>634</v>
      </c>
      <c r="D123">
        <v>342119</v>
      </c>
      <c r="E123" t="s">
        <v>606</v>
      </c>
      <c r="F123">
        <v>14796</v>
      </c>
      <c r="G123">
        <v>70690</v>
      </c>
      <c r="J123">
        <v>148837</v>
      </c>
      <c r="K123">
        <v>0</v>
      </c>
      <c r="L123">
        <v>1</v>
      </c>
      <c r="M123">
        <v>1</v>
      </c>
      <c r="N123">
        <v>651452</v>
      </c>
      <c r="O123" t="s">
        <v>607</v>
      </c>
      <c r="P123">
        <v>339665</v>
      </c>
      <c r="Q123" t="s">
        <v>745</v>
      </c>
      <c r="R123">
        <v>1</v>
      </c>
      <c r="S123" t="s">
        <v>609</v>
      </c>
      <c r="T123">
        <v>1</v>
      </c>
      <c r="U123" t="s">
        <v>610</v>
      </c>
      <c r="V123">
        <v>1327904</v>
      </c>
      <c r="X123">
        <v>1327905</v>
      </c>
      <c r="Y123">
        <v>0</v>
      </c>
      <c r="Z123" s="5">
        <v>46007.25277777778</v>
      </c>
      <c r="AA123" s="5">
        <v>46007.25277777778</v>
      </c>
      <c r="AB123">
        <v>39</v>
      </c>
      <c r="AC123">
        <v>1</v>
      </c>
      <c r="AD123">
        <v>557612</v>
      </c>
      <c r="AE123">
        <v>0</v>
      </c>
      <c r="AF123" s="5">
        <v>46002.440972222219</v>
      </c>
      <c r="AG123" s="5">
        <v>46002.440972222219</v>
      </c>
      <c r="AH123" s="5">
        <v>46007.25277777778</v>
      </c>
      <c r="AI123">
        <v>1</v>
      </c>
    </row>
    <row r="124" spans="1:35" x14ac:dyDescent="0.2">
      <c r="A124" t="s">
        <v>747</v>
      </c>
      <c r="B124" t="s">
        <v>604</v>
      </c>
      <c r="C124" t="s">
        <v>634</v>
      </c>
      <c r="D124">
        <v>342119</v>
      </c>
      <c r="E124" t="s">
        <v>606</v>
      </c>
      <c r="F124">
        <v>14796</v>
      </c>
      <c r="G124">
        <v>70690</v>
      </c>
      <c r="J124">
        <v>148837</v>
      </c>
      <c r="K124">
        <v>0</v>
      </c>
      <c r="L124">
        <v>1</v>
      </c>
      <c r="M124">
        <v>1</v>
      </c>
      <c r="N124">
        <v>647306</v>
      </c>
      <c r="O124" t="s">
        <v>607</v>
      </c>
      <c r="P124">
        <v>339665</v>
      </c>
      <c r="Q124" t="s">
        <v>745</v>
      </c>
      <c r="R124">
        <v>1</v>
      </c>
      <c r="S124" t="s">
        <v>609</v>
      </c>
      <c r="T124">
        <v>1</v>
      </c>
      <c r="U124" t="s">
        <v>610</v>
      </c>
      <c r="V124">
        <v>1327905</v>
      </c>
      <c r="X124">
        <v>1327905</v>
      </c>
      <c r="Y124">
        <v>1</v>
      </c>
      <c r="Z124" s="5">
        <v>46007.25277777778</v>
      </c>
      <c r="AA124" s="5">
        <v>46007.25277777778</v>
      </c>
      <c r="AB124">
        <v>69</v>
      </c>
      <c r="AC124">
        <v>2</v>
      </c>
      <c r="AD124">
        <v>557612</v>
      </c>
      <c r="AE124">
        <v>0</v>
      </c>
      <c r="AF124" s="5">
        <v>46002.440972222219</v>
      </c>
      <c r="AG124" s="5">
        <v>46002.440972222219</v>
      </c>
      <c r="AH124" s="5">
        <v>46007.25277777778</v>
      </c>
      <c r="AI124">
        <v>1</v>
      </c>
    </row>
    <row r="125" spans="1:35" x14ac:dyDescent="0.2">
      <c r="A125" t="s">
        <v>748</v>
      </c>
      <c r="B125" t="s">
        <v>604</v>
      </c>
      <c r="C125" t="s">
        <v>634</v>
      </c>
      <c r="D125">
        <v>342119</v>
      </c>
      <c r="E125" t="s">
        <v>606</v>
      </c>
      <c r="F125">
        <v>14796</v>
      </c>
      <c r="G125">
        <v>70690</v>
      </c>
      <c r="J125">
        <v>148837</v>
      </c>
      <c r="K125">
        <v>0</v>
      </c>
      <c r="L125">
        <v>0</v>
      </c>
      <c r="M125">
        <v>0</v>
      </c>
      <c r="N125">
        <v>647504</v>
      </c>
      <c r="O125" t="s">
        <v>607</v>
      </c>
      <c r="P125">
        <v>339665</v>
      </c>
      <c r="Q125" t="s">
        <v>745</v>
      </c>
      <c r="R125">
        <v>1</v>
      </c>
      <c r="S125" t="s">
        <v>609</v>
      </c>
      <c r="T125">
        <v>1</v>
      </c>
      <c r="U125" t="s">
        <v>610</v>
      </c>
      <c r="V125">
        <v>-1</v>
      </c>
      <c r="X125">
        <v>1327905</v>
      </c>
      <c r="Z125" s="5">
        <v>46007.25277777778</v>
      </c>
      <c r="AA125" s="5">
        <v>46007.25277777778</v>
      </c>
      <c r="AC125">
        <v>0</v>
      </c>
      <c r="AD125">
        <v>557612</v>
      </c>
      <c r="AE125">
        <v>0</v>
      </c>
      <c r="AF125" s="5">
        <v>46002.440972222219</v>
      </c>
      <c r="AG125" s="5">
        <v>46002.440972222219</v>
      </c>
      <c r="AI125">
        <v>1</v>
      </c>
    </row>
    <row r="126" spans="1:35" x14ac:dyDescent="0.2">
      <c r="A126" t="s">
        <v>749</v>
      </c>
      <c r="B126" t="s">
        <v>604</v>
      </c>
      <c r="C126" t="s">
        <v>634</v>
      </c>
      <c r="D126">
        <v>342119</v>
      </c>
      <c r="E126" t="s">
        <v>606</v>
      </c>
      <c r="F126">
        <v>14796</v>
      </c>
      <c r="G126">
        <v>70690</v>
      </c>
      <c r="J126">
        <v>148837</v>
      </c>
      <c r="K126">
        <v>0</v>
      </c>
      <c r="L126">
        <v>1</v>
      </c>
      <c r="M126">
        <v>1</v>
      </c>
      <c r="N126">
        <v>647426</v>
      </c>
      <c r="O126" t="s">
        <v>607</v>
      </c>
      <c r="P126">
        <v>339665</v>
      </c>
      <c r="Q126" t="s">
        <v>745</v>
      </c>
      <c r="R126">
        <v>1</v>
      </c>
      <c r="S126" t="s">
        <v>609</v>
      </c>
      <c r="T126">
        <v>1</v>
      </c>
      <c r="U126" t="s">
        <v>610</v>
      </c>
      <c r="V126">
        <v>1327905</v>
      </c>
      <c r="X126">
        <v>1327905</v>
      </c>
      <c r="Y126">
        <v>1</v>
      </c>
      <c r="Z126" s="5">
        <v>46007.25277777778</v>
      </c>
      <c r="AA126" s="5">
        <v>46007.253472222219</v>
      </c>
      <c r="AB126">
        <v>48</v>
      </c>
      <c r="AC126">
        <v>1</v>
      </c>
      <c r="AD126">
        <v>557612</v>
      </c>
      <c r="AE126">
        <v>0</v>
      </c>
      <c r="AF126" s="5">
        <v>46002.440972222219</v>
      </c>
      <c r="AG126" s="5">
        <v>46002.440972222219</v>
      </c>
      <c r="AH126" s="5">
        <v>46007.253472222219</v>
      </c>
      <c r="AI126">
        <v>1</v>
      </c>
    </row>
    <row r="127" spans="1:35" x14ac:dyDescent="0.2">
      <c r="A127" t="s">
        <v>750</v>
      </c>
      <c r="B127" t="s">
        <v>604</v>
      </c>
      <c r="C127" t="s">
        <v>634</v>
      </c>
      <c r="D127">
        <v>342119</v>
      </c>
      <c r="E127" t="s">
        <v>606</v>
      </c>
      <c r="F127">
        <v>14796</v>
      </c>
      <c r="G127">
        <v>70690</v>
      </c>
      <c r="J127">
        <v>148837</v>
      </c>
      <c r="K127">
        <v>0</v>
      </c>
      <c r="L127">
        <v>1</v>
      </c>
      <c r="M127">
        <v>1</v>
      </c>
      <c r="N127">
        <v>657525</v>
      </c>
      <c r="O127" t="s">
        <v>607</v>
      </c>
      <c r="P127">
        <v>339665</v>
      </c>
      <c r="Q127" t="s">
        <v>745</v>
      </c>
      <c r="R127">
        <v>1</v>
      </c>
      <c r="S127" t="s">
        <v>609</v>
      </c>
      <c r="T127">
        <v>1</v>
      </c>
      <c r="U127" t="s">
        <v>610</v>
      </c>
      <c r="V127">
        <v>1327904</v>
      </c>
      <c r="X127">
        <v>1327905</v>
      </c>
      <c r="Y127">
        <v>0</v>
      </c>
      <c r="Z127" s="5">
        <v>46007.25277777778</v>
      </c>
      <c r="AA127" s="5">
        <v>46007.25277777778</v>
      </c>
      <c r="AB127">
        <v>32</v>
      </c>
      <c r="AC127">
        <v>1</v>
      </c>
      <c r="AD127">
        <v>557612</v>
      </c>
      <c r="AE127">
        <v>0</v>
      </c>
      <c r="AF127" s="5">
        <v>46002.440972222219</v>
      </c>
      <c r="AG127" s="5">
        <v>46002.440972222219</v>
      </c>
      <c r="AH127" s="5">
        <v>46007.25277777778</v>
      </c>
      <c r="AI127">
        <v>1</v>
      </c>
    </row>
    <row r="128" spans="1:35" x14ac:dyDescent="0.2">
      <c r="A128" t="s">
        <v>751</v>
      </c>
      <c r="B128" t="s">
        <v>604</v>
      </c>
      <c r="C128" t="s">
        <v>634</v>
      </c>
      <c r="D128">
        <v>342119</v>
      </c>
      <c r="E128" t="s">
        <v>606</v>
      </c>
      <c r="F128">
        <v>14796</v>
      </c>
      <c r="G128">
        <v>70690</v>
      </c>
      <c r="J128">
        <v>148837</v>
      </c>
      <c r="K128">
        <v>0</v>
      </c>
      <c r="L128">
        <v>1</v>
      </c>
      <c r="M128">
        <v>1</v>
      </c>
      <c r="N128">
        <v>647496</v>
      </c>
      <c r="O128" t="s">
        <v>607</v>
      </c>
      <c r="P128">
        <v>339665</v>
      </c>
      <c r="Q128" t="s">
        <v>745</v>
      </c>
      <c r="R128">
        <v>1</v>
      </c>
      <c r="S128" t="s">
        <v>609</v>
      </c>
      <c r="T128">
        <v>1</v>
      </c>
      <c r="U128" t="s">
        <v>610</v>
      </c>
      <c r="V128">
        <v>1327904</v>
      </c>
      <c r="X128">
        <v>1327905</v>
      </c>
      <c r="Y128">
        <v>0</v>
      </c>
      <c r="Z128" s="5">
        <v>46007.25277777778</v>
      </c>
      <c r="AA128" s="5">
        <v>46007.25277777778</v>
      </c>
      <c r="AB128">
        <v>43</v>
      </c>
      <c r="AC128">
        <v>4</v>
      </c>
      <c r="AD128">
        <v>557612</v>
      </c>
      <c r="AE128">
        <v>0</v>
      </c>
      <c r="AF128" s="5">
        <v>46002.440972222219</v>
      </c>
      <c r="AG128" s="5">
        <v>46002.440972222219</v>
      </c>
      <c r="AH128" s="5">
        <v>46007.25277777778</v>
      </c>
      <c r="AI128">
        <v>1</v>
      </c>
    </row>
    <row r="129" spans="1:35" x14ac:dyDescent="0.2">
      <c r="A129" t="s">
        <v>752</v>
      </c>
      <c r="B129" t="s">
        <v>604</v>
      </c>
      <c r="C129" t="s">
        <v>634</v>
      </c>
      <c r="D129">
        <v>342119</v>
      </c>
      <c r="E129" t="s">
        <v>606</v>
      </c>
      <c r="F129">
        <v>14796</v>
      </c>
      <c r="G129">
        <v>70690</v>
      </c>
      <c r="J129">
        <v>148837</v>
      </c>
      <c r="K129">
        <v>0</v>
      </c>
      <c r="L129">
        <v>0</v>
      </c>
      <c r="M129">
        <v>0</v>
      </c>
      <c r="N129">
        <v>648986</v>
      </c>
      <c r="O129" t="s">
        <v>607</v>
      </c>
      <c r="P129">
        <v>339665</v>
      </c>
      <c r="Q129" t="s">
        <v>745</v>
      </c>
      <c r="R129">
        <v>1</v>
      </c>
      <c r="S129" t="s">
        <v>609</v>
      </c>
      <c r="T129">
        <v>1</v>
      </c>
      <c r="U129" t="s">
        <v>610</v>
      </c>
      <c r="V129">
        <v>-1</v>
      </c>
      <c r="X129">
        <v>1327905</v>
      </c>
      <c r="Z129" s="5">
        <v>46007.25277777778</v>
      </c>
      <c r="AA129" s="5">
        <v>46007.25277777778</v>
      </c>
      <c r="AC129">
        <v>0</v>
      </c>
      <c r="AD129">
        <v>557612</v>
      </c>
      <c r="AE129">
        <v>0</v>
      </c>
      <c r="AF129" s="5">
        <v>46002.440972222219</v>
      </c>
      <c r="AG129" s="5">
        <v>46002.440972222219</v>
      </c>
      <c r="AI129">
        <v>1</v>
      </c>
    </row>
    <row r="130" spans="1:35" x14ac:dyDescent="0.2">
      <c r="A130" t="s">
        <v>753</v>
      </c>
      <c r="B130" t="s">
        <v>604</v>
      </c>
      <c r="C130" t="s">
        <v>634</v>
      </c>
      <c r="D130">
        <v>342119</v>
      </c>
      <c r="E130" t="s">
        <v>606</v>
      </c>
      <c r="F130">
        <v>14796</v>
      </c>
      <c r="G130">
        <v>70690</v>
      </c>
      <c r="J130">
        <v>148837</v>
      </c>
      <c r="K130">
        <v>0</v>
      </c>
      <c r="L130">
        <v>1</v>
      </c>
      <c r="M130">
        <v>1</v>
      </c>
      <c r="N130">
        <v>647748</v>
      </c>
      <c r="O130" t="s">
        <v>607</v>
      </c>
      <c r="P130">
        <v>339665</v>
      </c>
      <c r="Q130" t="s">
        <v>745</v>
      </c>
      <c r="R130">
        <v>1</v>
      </c>
      <c r="S130" t="s">
        <v>609</v>
      </c>
      <c r="T130">
        <v>1</v>
      </c>
      <c r="U130" t="s">
        <v>610</v>
      </c>
      <c r="V130">
        <v>1327903</v>
      </c>
      <c r="X130">
        <v>1327905</v>
      </c>
      <c r="Y130">
        <v>0</v>
      </c>
      <c r="Z130" s="5">
        <v>46007.25277777778</v>
      </c>
      <c r="AA130" s="5">
        <v>46007.25277777778</v>
      </c>
      <c r="AB130">
        <v>29</v>
      </c>
      <c r="AC130">
        <v>1</v>
      </c>
      <c r="AD130">
        <v>557612</v>
      </c>
      <c r="AE130">
        <v>0</v>
      </c>
      <c r="AF130" s="5">
        <v>46002.440972222219</v>
      </c>
      <c r="AG130" s="5">
        <v>46002.440972222219</v>
      </c>
      <c r="AH130" s="5">
        <v>46007.25277777778</v>
      </c>
      <c r="AI130">
        <v>1</v>
      </c>
    </row>
    <row r="131" spans="1:35" x14ac:dyDescent="0.2">
      <c r="A131" t="s">
        <v>754</v>
      </c>
      <c r="B131" t="s">
        <v>604</v>
      </c>
      <c r="C131" t="s">
        <v>634</v>
      </c>
      <c r="D131">
        <v>342119</v>
      </c>
      <c r="E131" t="s">
        <v>606</v>
      </c>
      <c r="F131">
        <v>14796</v>
      </c>
      <c r="G131">
        <v>70690</v>
      </c>
      <c r="J131">
        <v>148837</v>
      </c>
      <c r="K131">
        <v>0</v>
      </c>
      <c r="L131">
        <v>1</v>
      </c>
      <c r="M131">
        <v>1</v>
      </c>
      <c r="N131">
        <v>648959</v>
      </c>
      <c r="O131" t="s">
        <v>607</v>
      </c>
      <c r="P131">
        <v>339665</v>
      </c>
      <c r="Q131" t="s">
        <v>745</v>
      </c>
      <c r="R131">
        <v>1</v>
      </c>
      <c r="S131" t="s">
        <v>609</v>
      </c>
      <c r="T131">
        <v>1</v>
      </c>
      <c r="U131" t="s">
        <v>610</v>
      </c>
      <c r="V131">
        <v>1327904</v>
      </c>
      <c r="X131">
        <v>1327905</v>
      </c>
      <c r="Y131">
        <v>0</v>
      </c>
      <c r="Z131" s="5">
        <v>46007.25277777778</v>
      </c>
      <c r="AA131" s="5">
        <v>46007.25277777778</v>
      </c>
      <c r="AB131">
        <v>22</v>
      </c>
      <c r="AC131">
        <v>6</v>
      </c>
      <c r="AD131">
        <v>557612</v>
      </c>
      <c r="AE131">
        <v>0</v>
      </c>
      <c r="AF131" s="5">
        <v>46002.440972222219</v>
      </c>
      <c r="AG131" s="5">
        <v>46002.440972222219</v>
      </c>
      <c r="AH131" s="5">
        <v>46007.25277777778</v>
      </c>
      <c r="AI131">
        <v>1</v>
      </c>
    </row>
    <row r="132" spans="1:35" x14ac:dyDescent="0.2">
      <c r="A132" t="s">
        <v>755</v>
      </c>
      <c r="B132" t="s">
        <v>604</v>
      </c>
      <c r="C132" t="s">
        <v>634</v>
      </c>
      <c r="D132">
        <v>342119</v>
      </c>
      <c r="E132" t="s">
        <v>606</v>
      </c>
      <c r="F132">
        <v>14796</v>
      </c>
      <c r="G132">
        <v>70690</v>
      </c>
      <c r="J132">
        <v>148837</v>
      </c>
      <c r="K132">
        <v>0</v>
      </c>
      <c r="L132">
        <v>1</v>
      </c>
      <c r="M132">
        <v>1</v>
      </c>
      <c r="N132">
        <v>647499</v>
      </c>
      <c r="O132" t="s">
        <v>607</v>
      </c>
      <c r="P132">
        <v>339665</v>
      </c>
      <c r="Q132" t="s">
        <v>745</v>
      </c>
      <c r="R132">
        <v>1</v>
      </c>
      <c r="S132" t="s">
        <v>609</v>
      </c>
      <c r="T132">
        <v>1</v>
      </c>
      <c r="U132" t="s">
        <v>610</v>
      </c>
      <c r="V132">
        <v>1327904</v>
      </c>
      <c r="X132">
        <v>1327905</v>
      </c>
      <c r="Y132">
        <v>0</v>
      </c>
      <c r="Z132" s="5">
        <v>46007.25277777778</v>
      </c>
      <c r="AA132" s="5">
        <v>46007.25277777778</v>
      </c>
      <c r="AB132">
        <v>18</v>
      </c>
      <c r="AC132">
        <v>1</v>
      </c>
      <c r="AD132">
        <v>557612</v>
      </c>
      <c r="AE132">
        <v>0</v>
      </c>
      <c r="AF132" s="5">
        <v>46002.440972222219</v>
      </c>
      <c r="AG132" s="5">
        <v>46002.440972222219</v>
      </c>
      <c r="AH132" s="5">
        <v>46007.25277777778</v>
      </c>
      <c r="AI132">
        <v>1</v>
      </c>
    </row>
    <row r="133" spans="1:35" x14ac:dyDescent="0.2">
      <c r="A133" t="s">
        <v>756</v>
      </c>
      <c r="B133" t="s">
        <v>604</v>
      </c>
      <c r="C133" t="s">
        <v>634</v>
      </c>
      <c r="D133">
        <v>342119</v>
      </c>
      <c r="E133" t="s">
        <v>606</v>
      </c>
      <c r="F133">
        <v>14796</v>
      </c>
      <c r="G133">
        <v>70690</v>
      </c>
      <c r="J133">
        <v>148837</v>
      </c>
      <c r="K133">
        <v>0</v>
      </c>
      <c r="L133">
        <v>1</v>
      </c>
      <c r="M133">
        <v>1</v>
      </c>
      <c r="N133">
        <v>647739</v>
      </c>
      <c r="O133" t="s">
        <v>607</v>
      </c>
      <c r="P133">
        <v>339665</v>
      </c>
      <c r="Q133" t="s">
        <v>745</v>
      </c>
      <c r="R133">
        <v>1</v>
      </c>
      <c r="S133" t="s">
        <v>609</v>
      </c>
      <c r="T133">
        <v>1</v>
      </c>
      <c r="U133" t="s">
        <v>610</v>
      </c>
      <c r="V133">
        <v>1327904</v>
      </c>
      <c r="X133">
        <v>1327905</v>
      </c>
      <c r="Y133">
        <v>0</v>
      </c>
      <c r="Z133" s="5">
        <v>46007.254861111112</v>
      </c>
      <c r="AA133" s="5">
        <v>46007.254861111112</v>
      </c>
      <c r="AB133">
        <v>19</v>
      </c>
      <c r="AC133">
        <v>1</v>
      </c>
      <c r="AD133">
        <v>557612</v>
      </c>
      <c r="AE133">
        <v>0</v>
      </c>
      <c r="AF133" s="5">
        <v>46002.440972222219</v>
      </c>
      <c r="AG133" s="5">
        <v>46002.440972222219</v>
      </c>
      <c r="AH133" s="5">
        <v>46007.254861111112</v>
      </c>
      <c r="AI133">
        <v>1</v>
      </c>
    </row>
    <row r="134" spans="1:35" x14ac:dyDescent="0.2">
      <c r="A134" t="s">
        <v>757</v>
      </c>
      <c r="B134" t="s">
        <v>604</v>
      </c>
      <c r="C134" t="s">
        <v>634</v>
      </c>
      <c r="D134">
        <v>342119</v>
      </c>
      <c r="E134" t="s">
        <v>606</v>
      </c>
      <c r="F134">
        <v>14796</v>
      </c>
      <c r="G134">
        <v>70690</v>
      </c>
      <c r="J134">
        <v>148837</v>
      </c>
      <c r="K134">
        <v>0</v>
      </c>
      <c r="L134">
        <v>0</v>
      </c>
      <c r="M134">
        <v>0</v>
      </c>
      <c r="N134">
        <v>647295</v>
      </c>
      <c r="O134" t="s">
        <v>607</v>
      </c>
      <c r="P134">
        <v>339665</v>
      </c>
      <c r="Q134" t="s">
        <v>745</v>
      </c>
      <c r="R134">
        <v>1</v>
      </c>
      <c r="S134" t="s">
        <v>609</v>
      </c>
      <c r="T134">
        <v>1</v>
      </c>
      <c r="U134" t="s">
        <v>610</v>
      </c>
      <c r="V134">
        <v>-1</v>
      </c>
      <c r="X134">
        <v>1327905</v>
      </c>
      <c r="Z134" s="5">
        <v>46007.25277777778</v>
      </c>
      <c r="AA134" s="5">
        <v>46007.25277777778</v>
      </c>
      <c r="AC134">
        <v>0</v>
      </c>
      <c r="AD134">
        <v>557612</v>
      </c>
      <c r="AE134">
        <v>0</v>
      </c>
      <c r="AF134" s="5">
        <v>46002.440972222219</v>
      </c>
      <c r="AG134" s="5">
        <v>46002.440972222219</v>
      </c>
      <c r="AI134">
        <v>1</v>
      </c>
    </row>
    <row r="135" spans="1:35" x14ac:dyDescent="0.2">
      <c r="A135" t="s">
        <v>758</v>
      </c>
      <c r="B135" t="s">
        <v>604</v>
      </c>
      <c r="C135" t="s">
        <v>634</v>
      </c>
      <c r="D135">
        <v>342119</v>
      </c>
      <c r="E135" t="s">
        <v>606</v>
      </c>
      <c r="F135">
        <v>14796</v>
      </c>
      <c r="G135">
        <v>70690</v>
      </c>
      <c r="J135">
        <v>148837</v>
      </c>
      <c r="K135">
        <v>0</v>
      </c>
      <c r="L135">
        <v>1</v>
      </c>
      <c r="M135">
        <v>1</v>
      </c>
      <c r="N135">
        <v>647433</v>
      </c>
      <c r="O135" t="s">
        <v>607</v>
      </c>
      <c r="P135">
        <v>339665</v>
      </c>
      <c r="Q135" t="s">
        <v>745</v>
      </c>
      <c r="R135">
        <v>1</v>
      </c>
      <c r="S135" t="s">
        <v>609</v>
      </c>
      <c r="T135">
        <v>1</v>
      </c>
      <c r="U135" t="s">
        <v>610</v>
      </c>
      <c r="V135">
        <v>1327904</v>
      </c>
      <c r="X135">
        <v>1327905</v>
      </c>
      <c r="Y135">
        <v>0</v>
      </c>
      <c r="Z135" s="5">
        <v>46007.25277777778</v>
      </c>
      <c r="AA135" s="5">
        <v>46007.25277777778</v>
      </c>
      <c r="AB135">
        <v>34</v>
      </c>
      <c r="AC135">
        <v>1</v>
      </c>
      <c r="AD135">
        <v>557612</v>
      </c>
      <c r="AE135">
        <v>0</v>
      </c>
      <c r="AF135" s="5">
        <v>46002.440972222219</v>
      </c>
      <c r="AG135" s="5">
        <v>46002.440972222219</v>
      </c>
      <c r="AH135" s="5">
        <v>46007.25277777778</v>
      </c>
      <c r="AI135">
        <v>1</v>
      </c>
    </row>
    <row r="136" spans="1:35" x14ac:dyDescent="0.2">
      <c r="A136" t="s">
        <v>759</v>
      </c>
      <c r="B136" t="s">
        <v>604</v>
      </c>
      <c r="C136" t="s">
        <v>634</v>
      </c>
      <c r="D136">
        <v>342119</v>
      </c>
      <c r="E136" t="s">
        <v>606</v>
      </c>
      <c r="F136">
        <v>14796</v>
      </c>
      <c r="G136">
        <v>70690</v>
      </c>
      <c r="J136">
        <v>148837</v>
      </c>
      <c r="K136">
        <v>0</v>
      </c>
      <c r="L136">
        <v>1</v>
      </c>
      <c r="M136">
        <v>1</v>
      </c>
      <c r="N136">
        <v>647404</v>
      </c>
      <c r="O136" t="s">
        <v>607</v>
      </c>
      <c r="P136">
        <v>339665</v>
      </c>
      <c r="Q136" t="s">
        <v>745</v>
      </c>
      <c r="R136">
        <v>1</v>
      </c>
      <c r="S136" t="s">
        <v>609</v>
      </c>
      <c r="T136">
        <v>1</v>
      </c>
      <c r="U136" t="s">
        <v>610</v>
      </c>
      <c r="V136">
        <v>1327904</v>
      </c>
      <c r="X136">
        <v>1327905</v>
      </c>
      <c r="Y136">
        <v>0</v>
      </c>
      <c r="Z136" s="5">
        <v>46007.25277777778</v>
      </c>
      <c r="AA136" s="5">
        <v>46007.25277777778</v>
      </c>
      <c r="AB136">
        <v>44</v>
      </c>
      <c r="AC136">
        <v>3</v>
      </c>
      <c r="AD136">
        <v>557612</v>
      </c>
      <c r="AE136">
        <v>0</v>
      </c>
      <c r="AF136" s="5">
        <v>46002.440972222219</v>
      </c>
      <c r="AG136" s="5">
        <v>46002.440972222219</v>
      </c>
      <c r="AH136" s="5">
        <v>46007.25277777778</v>
      </c>
      <c r="AI136">
        <v>1</v>
      </c>
    </row>
    <row r="137" spans="1:35" x14ac:dyDescent="0.2">
      <c r="A137" t="s">
        <v>760</v>
      </c>
      <c r="B137" t="s">
        <v>604</v>
      </c>
      <c r="C137" t="s">
        <v>634</v>
      </c>
      <c r="D137">
        <v>342119</v>
      </c>
      <c r="E137" t="s">
        <v>606</v>
      </c>
      <c r="F137">
        <v>14796</v>
      </c>
      <c r="G137">
        <v>70690</v>
      </c>
      <c r="J137">
        <v>148837</v>
      </c>
      <c r="K137">
        <v>0</v>
      </c>
      <c r="L137">
        <v>1</v>
      </c>
      <c r="M137">
        <v>1</v>
      </c>
      <c r="N137">
        <v>652933</v>
      </c>
      <c r="O137" t="s">
        <v>607</v>
      </c>
      <c r="P137">
        <v>339665</v>
      </c>
      <c r="Q137" t="s">
        <v>745</v>
      </c>
      <c r="R137">
        <v>1</v>
      </c>
      <c r="S137" t="s">
        <v>609</v>
      </c>
      <c r="T137">
        <v>1</v>
      </c>
      <c r="U137" t="s">
        <v>610</v>
      </c>
      <c r="V137">
        <v>1327904</v>
      </c>
      <c r="X137">
        <v>1327905</v>
      </c>
      <c r="Y137">
        <v>0</v>
      </c>
      <c r="Z137" s="5">
        <v>46007.255555555559</v>
      </c>
      <c r="AA137" s="5">
        <v>46007.255555555559</v>
      </c>
      <c r="AB137">
        <v>6</v>
      </c>
      <c r="AC137">
        <v>1</v>
      </c>
      <c r="AD137">
        <v>557612</v>
      </c>
      <c r="AE137">
        <v>0</v>
      </c>
      <c r="AF137" s="5">
        <v>46002.440972222219</v>
      </c>
      <c r="AG137" s="5">
        <v>46002.440972222219</v>
      </c>
      <c r="AH137" s="5">
        <v>46007.255555555559</v>
      </c>
      <c r="AI137">
        <v>1</v>
      </c>
    </row>
    <row r="138" spans="1:35" x14ac:dyDescent="0.2">
      <c r="A138" t="s">
        <v>761</v>
      </c>
      <c r="B138" t="s">
        <v>604</v>
      </c>
      <c r="C138" t="s">
        <v>634</v>
      </c>
      <c r="D138">
        <v>342119</v>
      </c>
      <c r="E138" t="s">
        <v>606</v>
      </c>
      <c r="F138">
        <v>14796</v>
      </c>
      <c r="G138">
        <v>70690</v>
      </c>
      <c r="J138">
        <v>148837</v>
      </c>
      <c r="K138">
        <v>0</v>
      </c>
      <c r="L138">
        <v>0</v>
      </c>
      <c r="M138">
        <v>0</v>
      </c>
      <c r="N138">
        <v>652929</v>
      </c>
      <c r="O138" t="s">
        <v>607</v>
      </c>
      <c r="P138">
        <v>339665</v>
      </c>
      <c r="Q138" t="s">
        <v>745</v>
      </c>
      <c r="R138">
        <v>1</v>
      </c>
      <c r="S138" t="s">
        <v>609</v>
      </c>
      <c r="T138">
        <v>1</v>
      </c>
      <c r="U138" t="s">
        <v>610</v>
      </c>
      <c r="V138">
        <v>-1</v>
      </c>
      <c r="X138">
        <v>1327905</v>
      </c>
      <c r="Z138" s="5">
        <v>46007.25277777778</v>
      </c>
      <c r="AA138" s="5">
        <v>46007.25277777778</v>
      </c>
      <c r="AC138">
        <v>0</v>
      </c>
      <c r="AD138">
        <v>557612</v>
      </c>
      <c r="AE138">
        <v>0</v>
      </c>
      <c r="AF138" s="5">
        <v>46002.440972222219</v>
      </c>
      <c r="AG138" s="5">
        <v>46002.440972222219</v>
      </c>
      <c r="AI138">
        <v>1</v>
      </c>
    </row>
    <row r="139" spans="1:35" x14ac:dyDescent="0.2">
      <c r="A139" t="s">
        <v>762</v>
      </c>
      <c r="B139" t="s">
        <v>604</v>
      </c>
      <c r="C139" t="s">
        <v>634</v>
      </c>
      <c r="D139">
        <v>342119</v>
      </c>
      <c r="E139" t="s">
        <v>606</v>
      </c>
      <c r="F139">
        <v>14796</v>
      </c>
      <c r="G139">
        <v>70690</v>
      </c>
      <c r="J139">
        <v>148837</v>
      </c>
      <c r="K139">
        <v>0</v>
      </c>
      <c r="L139">
        <v>1</v>
      </c>
      <c r="M139">
        <v>1</v>
      </c>
      <c r="N139">
        <v>652958</v>
      </c>
      <c r="O139" t="s">
        <v>607</v>
      </c>
      <c r="P139">
        <v>339665</v>
      </c>
      <c r="Q139" t="s">
        <v>745</v>
      </c>
      <c r="R139">
        <v>1</v>
      </c>
      <c r="S139" t="s">
        <v>609</v>
      </c>
      <c r="T139">
        <v>1</v>
      </c>
      <c r="U139" t="s">
        <v>610</v>
      </c>
      <c r="V139">
        <v>1327904</v>
      </c>
      <c r="X139">
        <v>1327905</v>
      </c>
      <c r="Y139">
        <v>0</v>
      </c>
      <c r="Z139" s="5">
        <v>46007.25277777778</v>
      </c>
      <c r="AA139" s="5">
        <v>46007.25277777778</v>
      </c>
      <c r="AB139">
        <v>19</v>
      </c>
      <c r="AC139">
        <v>1</v>
      </c>
      <c r="AD139">
        <v>557612</v>
      </c>
      <c r="AE139">
        <v>0</v>
      </c>
      <c r="AF139" s="5">
        <v>46002.440972222219</v>
      </c>
      <c r="AG139" s="5">
        <v>46002.440972222219</v>
      </c>
      <c r="AH139" s="5">
        <v>46007.25277777778</v>
      </c>
      <c r="AI139">
        <v>1</v>
      </c>
    </row>
    <row r="140" spans="1:35" x14ac:dyDescent="0.2">
      <c r="A140" t="s">
        <v>763</v>
      </c>
      <c r="B140" t="s">
        <v>604</v>
      </c>
      <c r="C140" t="s">
        <v>634</v>
      </c>
      <c r="D140">
        <v>342119</v>
      </c>
      <c r="E140" t="s">
        <v>606</v>
      </c>
      <c r="F140">
        <v>14796</v>
      </c>
      <c r="G140">
        <v>70690</v>
      </c>
      <c r="J140">
        <v>148837</v>
      </c>
      <c r="K140">
        <v>0</v>
      </c>
      <c r="L140">
        <v>1</v>
      </c>
      <c r="M140">
        <v>1</v>
      </c>
      <c r="N140">
        <v>652934</v>
      </c>
      <c r="O140" t="s">
        <v>607</v>
      </c>
      <c r="P140">
        <v>339665</v>
      </c>
      <c r="Q140" t="s">
        <v>745</v>
      </c>
      <c r="R140">
        <v>1</v>
      </c>
      <c r="S140" t="s">
        <v>609</v>
      </c>
      <c r="T140">
        <v>1</v>
      </c>
      <c r="U140" t="s">
        <v>610</v>
      </c>
      <c r="V140">
        <v>1327904</v>
      </c>
      <c r="X140">
        <v>1327905</v>
      </c>
      <c r="Y140">
        <v>0</v>
      </c>
      <c r="Z140" s="5">
        <v>46007.25277777778</v>
      </c>
      <c r="AA140" s="5">
        <v>46007.25277777778</v>
      </c>
      <c r="AB140">
        <v>15</v>
      </c>
      <c r="AC140">
        <v>1</v>
      </c>
      <c r="AD140">
        <v>557612</v>
      </c>
      <c r="AE140">
        <v>0</v>
      </c>
      <c r="AF140" s="5">
        <v>46002.440972222219</v>
      </c>
      <c r="AG140" s="5">
        <v>46002.440972222219</v>
      </c>
      <c r="AH140" s="5">
        <v>46007.25277777778</v>
      </c>
      <c r="AI140">
        <v>1</v>
      </c>
    </row>
    <row r="141" spans="1:35" x14ac:dyDescent="0.2">
      <c r="A141" t="s">
        <v>764</v>
      </c>
      <c r="B141" t="s">
        <v>604</v>
      </c>
      <c r="C141" t="s">
        <v>634</v>
      </c>
      <c r="D141">
        <v>342119</v>
      </c>
      <c r="E141" t="s">
        <v>606</v>
      </c>
      <c r="F141">
        <v>14796</v>
      </c>
      <c r="G141">
        <v>70690</v>
      </c>
      <c r="J141">
        <v>148837</v>
      </c>
      <c r="K141">
        <v>0</v>
      </c>
      <c r="L141">
        <v>1</v>
      </c>
      <c r="M141">
        <v>1</v>
      </c>
      <c r="N141">
        <v>652940</v>
      </c>
      <c r="O141" t="s">
        <v>607</v>
      </c>
      <c r="P141">
        <v>339665</v>
      </c>
      <c r="Q141" t="s">
        <v>745</v>
      </c>
      <c r="R141">
        <v>1</v>
      </c>
      <c r="S141" t="s">
        <v>609</v>
      </c>
      <c r="T141">
        <v>1</v>
      </c>
      <c r="U141" t="s">
        <v>610</v>
      </c>
      <c r="V141">
        <v>1327904</v>
      </c>
      <c r="X141">
        <v>1327905</v>
      </c>
      <c r="Y141">
        <v>0</v>
      </c>
      <c r="Z141" s="5">
        <v>46007.25277777778</v>
      </c>
      <c r="AA141" s="5">
        <v>46007.25277777778</v>
      </c>
      <c r="AB141">
        <v>11</v>
      </c>
      <c r="AC141">
        <v>1</v>
      </c>
      <c r="AD141">
        <v>557612</v>
      </c>
      <c r="AE141">
        <v>0</v>
      </c>
      <c r="AF141" s="5">
        <v>46002.440972222219</v>
      </c>
      <c r="AG141" s="5">
        <v>46002.440972222219</v>
      </c>
      <c r="AH141" s="5">
        <v>46007.25277777778</v>
      </c>
      <c r="AI141">
        <v>1</v>
      </c>
    </row>
    <row r="142" spans="1:35" x14ac:dyDescent="0.2">
      <c r="A142" t="s">
        <v>765</v>
      </c>
      <c r="B142" t="s">
        <v>604</v>
      </c>
      <c r="C142" t="s">
        <v>634</v>
      </c>
      <c r="D142">
        <v>342119</v>
      </c>
      <c r="E142" t="s">
        <v>606</v>
      </c>
      <c r="F142">
        <v>14796</v>
      </c>
      <c r="G142">
        <v>70690</v>
      </c>
      <c r="J142">
        <v>148837</v>
      </c>
      <c r="K142">
        <v>0</v>
      </c>
      <c r="L142">
        <v>0</v>
      </c>
      <c r="M142">
        <v>0</v>
      </c>
      <c r="N142">
        <v>652938</v>
      </c>
      <c r="O142" t="s">
        <v>607</v>
      </c>
      <c r="P142">
        <v>339665</v>
      </c>
      <c r="Q142" t="s">
        <v>745</v>
      </c>
      <c r="R142">
        <v>1</v>
      </c>
      <c r="S142" t="s">
        <v>609</v>
      </c>
      <c r="T142">
        <v>1</v>
      </c>
      <c r="U142" t="s">
        <v>610</v>
      </c>
      <c r="V142">
        <v>-1</v>
      </c>
      <c r="X142">
        <v>1327905</v>
      </c>
      <c r="Z142" s="5">
        <v>46007.25277777778</v>
      </c>
      <c r="AA142" s="5">
        <v>46007.25277777778</v>
      </c>
      <c r="AC142">
        <v>0</v>
      </c>
      <c r="AD142">
        <v>557612</v>
      </c>
      <c r="AE142">
        <v>0</v>
      </c>
      <c r="AF142" s="5">
        <v>46002.440972222219</v>
      </c>
      <c r="AG142" s="5">
        <v>46002.440972222219</v>
      </c>
      <c r="AI142">
        <v>1</v>
      </c>
    </row>
    <row r="143" spans="1:35" x14ac:dyDescent="0.2">
      <c r="A143" t="s">
        <v>766</v>
      </c>
      <c r="B143" t="s">
        <v>604</v>
      </c>
      <c r="C143" t="s">
        <v>634</v>
      </c>
      <c r="D143">
        <v>342119</v>
      </c>
      <c r="E143" t="s">
        <v>606</v>
      </c>
      <c r="F143">
        <v>14796</v>
      </c>
      <c r="G143">
        <v>70690</v>
      </c>
      <c r="J143">
        <v>148837</v>
      </c>
      <c r="K143">
        <v>0</v>
      </c>
      <c r="L143">
        <v>1</v>
      </c>
      <c r="M143">
        <v>1</v>
      </c>
      <c r="N143">
        <v>647411</v>
      </c>
      <c r="O143" t="s">
        <v>607</v>
      </c>
      <c r="P143">
        <v>339665</v>
      </c>
      <c r="Q143" t="s">
        <v>745</v>
      </c>
      <c r="R143">
        <v>1</v>
      </c>
      <c r="S143" t="s">
        <v>609</v>
      </c>
      <c r="T143">
        <v>1</v>
      </c>
      <c r="U143" t="s">
        <v>610</v>
      </c>
      <c r="V143">
        <v>1327904</v>
      </c>
      <c r="X143">
        <v>1327905</v>
      </c>
      <c r="Y143">
        <v>0</v>
      </c>
      <c r="Z143" s="5">
        <v>46007.25277777778</v>
      </c>
      <c r="AA143" s="5">
        <v>46007.25277777778</v>
      </c>
      <c r="AB143">
        <v>29</v>
      </c>
      <c r="AC143">
        <v>1</v>
      </c>
      <c r="AD143">
        <v>557612</v>
      </c>
      <c r="AE143">
        <v>0</v>
      </c>
      <c r="AF143" s="5">
        <v>46002.440972222219</v>
      </c>
      <c r="AG143" s="5">
        <v>46002.440972222219</v>
      </c>
      <c r="AH143" s="5">
        <v>46007.25277777778</v>
      </c>
      <c r="AI143">
        <v>1</v>
      </c>
    </row>
    <row r="144" spans="1:35" x14ac:dyDescent="0.2">
      <c r="A144" t="s">
        <v>767</v>
      </c>
      <c r="B144" t="s">
        <v>604</v>
      </c>
      <c r="C144" t="s">
        <v>634</v>
      </c>
      <c r="D144">
        <v>342119</v>
      </c>
      <c r="E144" t="s">
        <v>606</v>
      </c>
      <c r="F144">
        <v>14796</v>
      </c>
      <c r="G144">
        <v>70690</v>
      </c>
      <c r="J144">
        <v>148837</v>
      </c>
      <c r="K144">
        <v>0</v>
      </c>
      <c r="L144">
        <v>1</v>
      </c>
      <c r="M144">
        <v>1</v>
      </c>
      <c r="N144">
        <v>648953</v>
      </c>
      <c r="O144" t="s">
        <v>607</v>
      </c>
      <c r="P144">
        <v>339665</v>
      </c>
      <c r="Q144" t="s">
        <v>745</v>
      </c>
      <c r="R144">
        <v>1</v>
      </c>
      <c r="S144" t="s">
        <v>609</v>
      </c>
      <c r="T144">
        <v>1</v>
      </c>
      <c r="U144" t="s">
        <v>610</v>
      </c>
      <c r="V144">
        <v>1327904</v>
      </c>
      <c r="X144">
        <v>1327905</v>
      </c>
      <c r="Y144">
        <v>0</v>
      </c>
      <c r="Z144" s="5">
        <v>46007.25277777778</v>
      </c>
      <c r="AA144" s="5">
        <v>46007.254166666666</v>
      </c>
      <c r="AB144">
        <v>138</v>
      </c>
      <c r="AC144">
        <v>1</v>
      </c>
      <c r="AD144">
        <v>557612</v>
      </c>
      <c r="AE144">
        <v>0</v>
      </c>
      <c r="AF144" s="5">
        <v>46002.440972222219</v>
      </c>
      <c r="AG144" s="5">
        <v>46002.440972222219</v>
      </c>
      <c r="AH144" s="5">
        <v>46007.254166666666</v>
      </c>
      <c r="AI144">
        <v>1</v>
      </c>
    </row>
    <row r="145" spans="1:35" x14ac:dyDescent="0.2">
      <c r="A145" t="s">
        <v>768</v>
      </c>
      <c r="B145" t="s">
        <v>604</v>
      </c>
      <c r="C145" t="s">
        <v>605</v>
      </c>
      <c r="D145">
        <v>342116</v>
      </c>
      <c r="E145" t="s">
        <v>606</v>
      </c>
      <c r="F145">
        <v>14796</v>
      </c>
      <c r="G145">
        <v>70690</v>
      </c>
      <c r="J145">
        <v>148836</v>
      </c>
      <c r="K145">
        <v>0</v>
      </c>
      <c r="L145">
        <v>0</v>
      </c>
      <c r="M145">
        <v>0</v>
      </c>
      <c r="N145">
        <v>648986</v>
      </c>
      <c r="O145" t="s">
        <v>607</v>
      </c>
      <c r="P145">
        <v>319911</v>
      </c>
      <c r="Q145" t="s">
        <v>769</v>
      </c>
      <c r="R145">
        <v>1</v>
      </c>
      <c r="S145" t="s">
        <v>609</v>
      </c>
      <c r="T145">
        <v>0</v>
      </c>
      <c r="U145" t="s">
        <v>610</v>
      </c>
      <c r="V145">
        <v>-1</v>
      </c>
      <c r="X145">
        <v>1252102</v>
      </c>
      <c r="Z145" s="5">
        <v>46007.262499999997</v>
      </c>
      <c r="AA145" s="5">
        <v>46007.262499999997</v>
      </c>
      <c r="AC145">
        <v>0</v>
      </c>
      <c r="AD145">
        <v>557612</v>
      </c>
      <c r="AE145">
        <v>0</v>
      </c>
      <c r="AF145" s="5">
        <v>46002.440972222219</v>
      </c>
      <c r="AG145" s="5">
        <v>46002.440972222219</v>
      </c>
      <c r="AI145">
        <v>1</v>
      </c>
    </row>
    <row r="146" spans="1:35" x14ac:dyDescent="0.2">
      <c r="A146" t="s">
        <v>770</v>
      </c>
      <c r="B146" t="s">
        <v>604</v>
      </c>
      <c r="C146" t="s">
        <v>605</v>
      </c>
      <c r="D146">
        <v>342116</v>
      </c>
      <c r="E146" t="s">
        <v>606</v>
      </c>
      <c r="F146">
        <v>14796</v>
      </c>
      <c r="G146">
        <v>70690</v>
      </c>
      <c r="J146">
        <v>148836</v>
      </c>
      <c r="K146">
        <v>0</v>
      </c>
      <c r="L146">
        <v>1</v>
      </c>
      <c r="M146">
        <v>1</v>
      </c>
      <c r="N146">
        <v>648951</v>
      </c>
      <c r="O146" t="s">
        <v>607</v>
      </c>
      <c r="P146">
        <v>319911</v>
      </c>
      <c r="Q146" t="s">
        <v>769</v>
      </c>
      <c r="R146">
        <v>1</v>
      </c>
      <c r="S146" t="s">
        <v>609</v>
      </c>
      <c r="T146">
        <v>0</v>
      </c>
      <c r="U146" t="s">
        <v>610</v>
      </c>
      <c r="V146">
        <v>1252103</v>
      </c>
      <c r="X146">
        <v>1252102</v>
      </c>
      <c r="Y146">
        <v>0</v>
      </c>
      <c r="Z146" s="5">
        <v>46007.260416666664</v>
      </c>
      <c r="AA146" s="5">
        <v>46007.260416666664</v>
      </c>
      <c r="AB146">
        <v>9</v>
      </c>
      <c r="AC146">
        <v>1</v>
      </c>
      <c r="AD146">
        <v>557612</v>
      </c>
      <c r="AE146">
        <v>0</v>
      </c>
      <c r="AF146" s="5">
        <v>46002.440972222219</v>
      </c>
      <c r="AG146" s="5">
        <v>46002.440972222219</v>
      </c>
      <c r="AH146" s="5">
        <v>46007.260416666664</v>
      </c>
      <c r="AI146">
        <v>1</v>
      </c>
    </row>
    <row r="147" spans="1:35" x14ac:dyDescent="0.2">
      <c r="A147" t="s">
        <v>771</v>
      </c>
      <c r="B147" t="s">
        <v>604</v>
      </c>
      <c r="C147" t="s">
        <v>605</v>
      </c>
      <c r="D147">
        <v>342116</v>
      </c>
      <c r="E147" t="s">
        <v>606</v>
      </c>
      <c r="F147">
        <v>14796</v>
      </c>
      <c r="G147">
        <v>70690</v>
      </c>
      <c r="J147">
        <v>148836</v>
      </c>
      <c r="K147">
        <v>0</v>
      </c>
      <c r="L147">
        <v>1</v>
      </c>
      <c r="M147">
        <v>1</v>
      </c>
      <c r="N147">
        <v>648959</v>
      </c>
      <c r="O147" t="s">
        <v>607</v>
      </c>
      <c r="P147">
        <v>319911</v>
      </c>
      <c r="Q147" t="s">
        <v>769</v>
      </c>
      <c r="R147">
        <v>1</v>
      </c>
      <c r="S147" t="s">
        <v>609</v>
      </c>
      <c r="T147">
        <v>0</v>
      </c>
      <c r="U147" t="s">
        <v>610</v>
      </c>
      <c r="V147">
        <v>1252102</v>
      </c>
      <c r="X147">
        <v>1252102</v>
      </c>
      <c r="Y147">
        <v>1</v>
      </c>
      <c r="Z147" s="5">
        <v>46007.261111111111</v>
      </c>
      <c r="AA147" s="5">
        <v>46007.261111111111</v>
      </c>
      <c r="AB147">
        <v>5</v>
      </c>
      <c r="AC147">
        <v>1</v>
      </c>
      <c r="AD147">
        <v>557612</v>
      </c>
      <c r="AE147">
        <v>0</v>
      </c>
      <c r="AF147" s="5">
        <v>46002.440972222219</v>
      </c>
      <c r="AG147" s="5">
        <v>46002.440972222219</v>
      </c>
      <c r="AH147" s="5">
        <v>46007.261111111111</v>
      </c>
      <c r="AI147">
        <v>1</v>
      </c>
    </row>
    <row r="148" spans="1:35" x14ac:dyDescent="0.2">
      <c r="A148" t="s">
        <v>772</v>
      </c>
      <c r="B148" t="s">
        <v>604</v>
      </c>
      <c r="C148" t="s">
        <v>605</v>
      </c>
      <c r="D148">
        <v>342116</v>
      </c>
      <c r="E148" t="s">
        <v>606</v>
      </c>
      <c r="F148">
        <v>14796</v>
      </c>
      <c r="G148">
        <v>70690</v>
      </c>
      <c r="J148">
        <v>148836</v>
      </c>
      <c r="K148">
        <v>0</v>
      </c>
      <c r="L148">
        <v>1</v>
      </c>
      <c r="M148">
        <v>1</v>
      </c>
      <c r="N148">
        <v>647306</v>
      </c>
      <c r="O148" t="s">
        <v>607</v>
      </c>
      <c r="P148">
        <v>319911</v>
      </c>
      <c r="Q148" t="s">
        <v>769</v>
      </c>
      <c r="R148">
        <v>1</v>
      </c>
      <c r="S148" t="s">
        <v>609</v>
      </c>
      <c r="T148">
        <v>0</v>
      </c>
      <c r="U148" t="s">
        <v>610</v>
      </c>
      <c r="V148">
        <v>1252103</v>
      </c>
      <c r="X148">
        <v>1252102</v>
      </c>
      <c r="Y148">
        <v>0</v>
      </c>
      <c r="Z148" s="5">
        <v>46007.260416666664</v>
      </c>
      <c r="AA148" s="5">
        <v>46007.260416666664</v>
      </c>
      <c r="AB148">
        <v>7</v>
      </c>
      <c r="AC148">
        <v>1</v>
      </c>
      <c r="AD148">
        <v>557612</v>
      </c>
      <c r="AE148">
        <v>0</v>
      </c>
      <c r="AF148" s="5">
        <v>46002.440972222219</v>
      </c>
      <c r="AG148" s="5">
        <v>46002.440972222219</v>
      </c>
      <c r="AH148" s="5">
        <v>46007.260416666664</v>
      </c>
      <c r="AI148">
        <v>1</v>
      </c>
    </row>
    <row r="149" spans="1:35" x14ac:dyDescent="0.2">
      <c r="A149" t="s">
        <v>773</v>
      </c>
      <c r="B149" t="s">
        <v>604</v>
      </c>
      <c r="C149" t="s">
        <v>605</v>
      </c>
      <c r="D149">
        <v>342116</v>
      </c>
      <c r="E149" t="s">
        <v>606</v>
      </c>
      <c r="F149">
        <v>14796</v>
      </c>
      <c r="G149">
        <v>70690</v>
      </c>
      <c r="J149">
        <v>148836</v>
      </c>
      <c r="K149">
        <v>0</v>
      </c>
      <c r="L149">
        <v>1</v>
      </c>
      <c r="M149">
        <v>1</v>
      </c>
      <c r="N149">
        <v>657525</v>
      </c>
      <c r="O149" t="s">
        <v>607</v>
      </c>
      <c r="P149">
        <v>319911</v>
      </c>
      <c r="Q149" t="s">
        <v>769</v>
      </c>
      <c r="R149">
        <v>1</v>
      </c>
      <c r="S149" t="s">
        <v>609</v>
      </c>
      <c r="T149">
        <v>0</v>
      </c>
      <c r="U149" t="s">
        <v>610</v>
      </c>
      <c r="V149">
        <v>1252103</v>
      </c>
      <c r="X149">
        <v>1252102</v>
      </c>
      <c r="Y149">
        <v>0</v>
      </c>
      <c r="Z149" s="5">
        <v>46007.259722222225</v>
      </c>
      <c r="AA149" s="5">
        <v>46007.260416666664</v>
      </c>
      <c r="AB149">
        <v>23</v>
      </c>
      <c r="AC149">
        <v>1</v>
      </c>
      <c r="AD149">
        <v>557612</v>
      </c>
      <c r="AE149">
        <v>0</v>
      </c>
      <c r="AF149" s="5">
        <v>46002.440972222219</v>
      </c>
      <c r="AG149" s="5">
        <v>46002.440972222219</v>
      </c>
      <c r="AH149" s="5">
        <v>46007.260416666664</v>
      </c>
      <c r="AI149">
        <v>1</v>
      </c>
    </row>
    <row r="150" spans="1:35" x14ac:dyDescent="0.2">
      <c r="A150" t="s">
        <v>774</v>
      </c>
      <c r="B150" t="s">
        <v>604</v>
      </c>
      <c r="C150" t="s">
        <v>605</v>
      </c>
      <c r="D150">
        <v>342116</v>
      </c>
      <c r="E150" t="s">
        <v>606</v>
      </c>
      <c r="F150">
        <v>14796</v>
      </c>
      <c r="G150">
        <v>70690</v>
      </c>
      <c r="J150">
        <v>148836</v>
      </c>
      <c r="K150">
        <v>0</v>
      </c>
      <c r="L150">
        <v>1</v>
      </c>
      <c r="M150">
        <v>1</v>
      </c>
      <c r="N150">
        <v>647739</v>
      </c>
      <c r="O150" t="s">
        <v>607</v>
      </c>
      <c r="P150">
        <v>319911</v>
      </c>
      <c r="Q150" t="s">
        <v>769</v>
      </c>
      <c r="R150">
        <v>1</v>
      </c>
      <c r="S150" t="s">
        <v>609</v>
      </c>
      <c r="T150">
        <v>0</v>
      </c>
      <c r="U150" t="s">
        <v>610</v>
      </c>
      <c r="V150">
        <v>1252102</v>
      </c>
      <c r="X150">
        <v>1252102</v>
      </c>
      <c r="Y150">
        <v>1</v>
      </c>
      <c r="Z150" s="5">
        <v>46007.260416666664</v>
      </c>
      <c r="AA150" s="5">
        <v>46007.261111111111</v>
      </c>
      <c r="AB150">
        <v>8</v>
      </c>
      <c r="AC150">
        <v>1</v>
      </c>
      <c r="AD150">
        <v>557612</v>
      </c>
      <c r="AE150">
        <v>0</v>
      </c>
      <c r="AF150" s="5">
        <v>46002.440972222219</v>
      </c>
      <c r="AG150" s="5">
        <v>46002.440972222219</v>
      </c>
      <c r="AH150" s="5">
        <v>46007.261111111111</v>
      </c>
      <c r="AI150">
        <v>1</v>
      </c>
    </row>
    <row r="151" spans="1:35" x14ac:dyDescent="0.2">
      <c r="A151" t="s">
        <v>775</v>
      </c>
      <c r="B151" t="s">
        <v>604</v>
      </c>
      <c r="C151" t="s">
        <v>605</v>
      </c>
      <c r="D151">
        <v>342116</v>
      </c>
      <c r="E151" t="s">
        <v>606</v>
      </c>
      <c r="F151">
        <v>14796</v>
      </c>
      <c r="G151">
        <v>70690</v>
      </c>
      <c r="J151">
        <v>148836</v>
      </c>
      <c r="K151">
        <v>0</v>
      </c>
      <c r="L151">
        <v>1</v>
      </c>
      <c r="M151">
        <v>1</v>
      </c>
      <c r="N151">
        <v>652934</v>
      </c>
      <c r="O151" t="s">
        <v>607</v>
      </c>
      <c r="P151">
        <v>319911</v>
      </c>
      <c r="Q151" t="s">
        <v>769</v>
      </c>
      <c r="R151">
        <v>1</v>
      </c>
      <c r="S151" t="s">
        <v>609</v>
      </c>
      <c r="T151">
        <v>0</v>
      </c>
      <c r="U151" t="s">
        <v>610</v>
      </c>
      <c r="V151">
        <v>1252101</v>
      </c>
      <c r="X151">
        <v>1252102</v>
      </c>
      <c r="Y151">
        <v>0</v>
      </c>
      <c r="Z151" s="5">
        <v>46007.259722222225</v>
      </c>
      <c r="AA151" s="5">
        <v>46007.259722222225</v>
      </c>
      <c r="AB151">
        <v>1</v>
      </c>
      <c r="AC151">
        <v>1</v>
      </c>
      <c r="AD151">
        <v>557612</v>
      </c>
      <c r="AE151">
        <v>0</v>
      </c>
      <c r="AF151" s="5">
        <v>46002.440972222219</v>
      </c>
      <c r="AG151" s="5">
        <v>46002.440972222219</v>
      </c>
      <c r="AH151" s="5">
        <v>46007.259722222225</v>
      </c>
      <c r="AI151">
        <v>1</v>
      </c>
    </row>
    <row r="152" spans="1:35" x14ac:dyDescent="0.2">
      <c r="A152" t="s">
        <v>776</v>
      </c>
      <c r="B152" t="s">
        <v>604</v>
      </c>
      <c r="C152" t="s">
        <v>605</v>
      </c>
      <c r="D152">
        <v>342116</v>
      </c>
      <c r="E152" t="s">
        <v>606</v>
      </c>
      <c r="F152">
        <v>14796</v>
      </c>
      <c r="G152">
        <v>70690</v>
      </c>
      <c r="J152">
        <v>148836</v>
      </c>
      <c r="K152">
        <v>0</v>
      </c>
      <c r="L152">
        <v>1</v>
      </c>
      <c r="M152">
        <v>1</v>
      </c>
      <c r="N152">
        <v>647496</v>
      </c>
      <c r="O152" t="s">
        <v>607</v>
      </c>
      <c r="P152">
        <v>319911</v>
      </c>
      <c r="Q152" t="s">
        <v>769</v>
      </c>
      <c r="R152">
        <v>1</v>
      </c>
      <c r="S152" t="s">
        <v>609</v>
      </c>
      <c r="T152">
        <v>0</v>
      </c>
      <c r="U152" t="s">
        <v>610</v>
      </c>
      <c r="V152">
        <v>1252102</v>
      </c>
      <c r="X152">
        <v>1252102</v>
      </c>
      <c r="Y152">
        <v>1</v>
      </c>
      <c r="Z152" s="5">
        <v>46007.260416666664</v>
      </c>
      <c r="AA152" s="5">
        <v>46007.260416666664</v>
      </c>
      <c r="AB152">
        <v>26</v>
      </c>
      <c r="AC152">
        <v>1</v>
      </c>
      <c r="AD152">
        <v>557612</v>
      </c>
      <c r="AE152">
        <v>0</v>
      </c>
      <c r="AF152" s="5">
        <v>46002.440972222219</v>
      </c>
      <c r="AG152" s="5">
        <v>46002.440972222219</v>
      </c>
      <c r="AH152" s="5">
        <v>46007.260416666664</v>
      </c>
      <c r="AI152">
        <v>1</v>
      </c>
    </row>
    <row r="153" spans="1:35" x14ac:dyDescent="0.2">
      <c r="A153" t="s">
        <v>777</v>
      </c>
      <c r="B153" t="s">
        <v>604</v>
      </c>
      <c r="C153" t="s">
        <v>605</v>
      </c>
      <c r="D153">
        <v>342116</v>
      </c>
      <c r="E153" t="s">
        <v>606</v>
      </c>
      <c r="F153">
        <v>14796</v>
      </c>
      <c r="G153">
        <v>70690</v>
      </c>
      <c r="J153">
        <v>148836</v>
      </c>
      <c r="K153">
        <v>0</v>
      </c>
      <c r="L153">
        <v>1</v>
      </c>
      <c r="M153">
        <v>1</v>
      </c>
      <c r="N153">
        <v>647499</v>
      </c>
      <c r="O153" t="s">
        <v>607</v>
      </c>
      <c r="P153">
        <v>319911</v>
      </c>
      <c r="Q153" t="s">
        <v>769</v>
      </c>
      <c r="R153">
        <v>1</v>
      </c>
      <c r="S153" t="s">
        <v>609</v>
      </c>
      <c r="T153">
        <v>0</v>
      </c>
      <c r="U153" t="s">
        <v>610</v>
      </c>
      <c r="V153">
        <v>1252102</v>
      </c>
      <c r="X153">
        <v>1252102</v>
      </c>
      <c r="Y153">
        <v>1</v>
      </c>
      <c r="Z153" s="5">
        <v>46007.260416666664</v>
      </c>
      <c r="AA153" s="5">
        <v>46007.260416666664</v>
      </c>
      <c r="AB153">
        <v>22</v>
      </c>
      <c r="AC153">
        <v>1</v>
      </c>
      <c r="AD153">
        <v>557612</v>
      </c>
      <c r="AE153">
        <v>0</v>
      </c>
      <c r="AF153" s="5">
        <v>46002.440972222219</v>
      </c>
      <c r="AG153" s="5">
        <v>46002.440972222219</v>
      </c>
      <c r="AH153" s="5">
        <v>46007.260416666664</v>
      </c>
      <c r="AI153">
        <v>1</v>
      </c>
    </row>
    <row r="154" spans="1:35" x14ac:dyDescent="0.2">
      <c r="A154" t="s">
        <v>778</v>
      </c>
      <c r="B154" t="s">
        <v>604</v>
      </c>
      <c r="C154" t="s">
        <v>605</v>
      </c>
      <c r="D154">
        <v>342116</v>
      </c>
      <c r="E154" t="s">
        <v>606</v>
      </c>
      <c r="F154">
        <v>14796</v>
      </c>
      <c r="G154">
        <v>70690</v>
      </c>
      <c r="J154">
        <v>148836</v>
      </c>
      <c r="K154">
        <v>0</v>
      </c>
      <c r="L154">
        <v>1</v>
      </c>
      <c r="M154">
        <v>1</v>
      </c>
      <c r="N154">
        <v>647433</v>
      </c>
      <c r="O154" t="s">
        <v>607</v>
      </c>
      <c r="P154">
        <v>319911</v>
      </c>
      <c r="Q154" t="s">
        <v>769</v>
      </c>
      <c r="R154">
        <v>1</v>
      </c>
      <c r="S154" t="s">
        <v>609</v>
      </c>
      <c r="T154">
        <v>0</v>
      </c>
      <c r="U154" t="s">
        <v>610</v>
      </c>
      <c r="V154">
        <v>1252103</v>
      </c>
      <c r="X154">
        <v>1252102</v>
      </c>
      <c r="Y154">
        <v>0</v>
      </c>
      <c r="Z154" s="5">
        <v>46007.260416666664</v>
      </c>
      <c r="AA154" s="5">
        <v>46007.260416666664</v>
      </c>
      <c r="AB154">
        <v>8</v>
      </c>
      <c r="AC154">
        <v>1</v>
      </c>
      <c r="AD154">
        <v>557612</v>
      </c>
      <c r="AE154">
        <v>0</v>
      </c>
      <c r="AF154" s="5">
        <v>46002.440972222219</v>
      </c>
      <c r="AG154" s="5">
        <v>46002.440972222219</v>
      </c>
      <c r="AH154" s="5">
        <v>46007.260416666664</v>
      </c>
      <c r="AI154">
        <v>1</v>
      </c>
    </row>
    <row r="155" spans="1:35" x14ac:dyDescent="0.2">
      <c r="A155" t="s">
        <v>779</v>
      </c>
      <c r="B155" t="s">
        <v>604</v>
      </c>
      <c r="C155" t="s">
        <v>605</v>
      </c>
      <c r="D155">
        <v>342116</v>
      </c>
      <c r="E155" t="s">
        <v>606</v>
      </c>
      <c r="F155">
        <v>14796</v>
      </c>
      <c r="G155">
        <v>70690</v>
      </c>
      <c r="J155">
        <v>148836</v>
      </c>
      <c r="K155">
        <v>0</v>
      </c>
      <c r="L155">
        <v>1</v>
      </c>
      <c r="M155">
        <v>1</v>
      </c>
      <c r="N155">
        <v>647426</v>
      </c>
      <c r="O155" t="s">
        <v>607</v>
      </c>
      <c r="P155">
        <v>319911</v>
      </c>
      <c r="Q155" t="s">
        <v>769</v>
      </c>
      <c r="R155">
        <v>1</v>
      </c>
      <c r="S155" t="s">
        <v>609</v>
      </c>
      <c r="T155">
        <v>0</v>
      </c>
      <c r="U155" t="s">
        <v>610</v>
      </c>
      <c r="V155">
        <v>1252101</v>
      </c>
      <c r="X155">
        <v>1252102</v>
      </c>
      <c r="Y155">
        <v>0</v>
      </c>
      <c r="Z155" s="5">
        <v>46007.260416666664</v>
      </c>
      <c r="AA155" s="5">
        <v>46007.260416666664</v>
      </c>
      <c r="AB155">
        <v>6</v>
      </c>
      <c r="AC155">
        <v>1</v>
      </c>
      <c r="AD155">
        <v>557612</v>
      </c>
      <c r="AE155">
        <v>0</v>
      </c>
      <c r="AF155" s="5">
        <v>46002.440972222219</v>
      </c>
      <c r="AG155" s="5">
        <v>46002.440972222219</v>
      </c>
      <c r="AH155" s="5">
        <v>46007.260416666664</v>
      </c>
      <c r="AI155">
        <v>1</v>
      </c>
    </row>
    <row r="156" spans="1:35" x14ac:dyDescent="0.2">
      <c r="A156" t="s">
        <v>780</v>
      </c>
      <c r="B156" t="s">
        <v>604</v>
      </c>
      <c r="C156" t="s">
        <v>605</v>
      </c>
      <c r="D156">
        <v>342116</v>
      </c>
      <c r="E156" t="s">
        <v>606</v>
      </c>
      <c r="F156">
        <v>14796</v>
      </c>
      <c r="G156">
        <v>70690</v>
      </c>
      <c r="J156">
        <v>148836</v>
      </c>
      <c r="K156">
        <v>0</v>
      </c>
      <c r="L156">
        <v>1</v>
      </c>
      <c r="M156">
        <v>1</v>
      </c>
      <c r="N156">
        <v>651452</v>
      </c>
      <c r="O156" t="s">
        <v>607</v>
      </c>
      <c r="P156">
        <v>319911</v>
      </c>
      <c r="Q156" t="s">
        <v>769</v>
      </c>
      <c r="R156">
        <v>1</v>
      </c>
      <c r="S156" t="s">
        <v>609</v>
      </c>
      <c r="T156">
        <v>0</v>
      </c>
      <c r="U156" t="s">
        <v>610</v>
      </c>
      <c r="V156">
        <v>1252103</v>
      </c>
      <c r="X156">
        <v>1252102</v>
      </c>
      <c r="Y156">
        <v>0</v>
      </c>
      <c r="Z156" s="5">
        <v>46007.260416666664</v>
      </c>
      <c r="AA156" s="5">
        <v>46007.260416666664</v>
      </c>
      <c r="AB156">
        <v>17</v>
      </c>
      <c r="AC156">
        <v>1</v>
      </c>
      <c r="AD156">
        <v>557612</v>
      </c>
      <c r="AE156">
        <v>0</v>
      </c>
      <c r="AF156" s="5">
        <v>46002.440972222219</v>
      </c>
      <c r="AG156" s="5">
        <v>46002.440972222219</v>
      </c>
      <c r="AH156" s="5">
        <v>46007.260416666664</v>
      </c>
      <c r="AI156">
        <v>1</v>
      </c>
    </row>
    <row r="157" spans="1:35" x14ac:dyDescent="0.2">
      <c r="A157" t="s">
        <v>781</v>
      </c>
      <c r="B157" t="s">
        <v>604</v>
      </c>
      <c r="C157" t="s">
        <v>605</v>
      </c>
      <c r="D157">
        <v>342116</v>
      </c>
      <c r="E157" t="s">
        <v>606</v>
      </c>
      <c r="F157">
        <v>14796</v>
      </c>
      <c r="G157">
        <v>70690</v>
      </c>
      <c r="J157">
        <v>148836</v>
      </c>
      <c r="K157">
        <v>0</v>
      </c>
      <c r="L157">
        <v>1</v>
      </c>
      <c r="M157">
        <v>1</v>
      </c>
      <c r="N157">
        <v>647748</v>
      </c>
      <c r="O157" t="s">
        <v>607</v>
      </c>
      <c r="P157">
        <v>319911</v>
      </c>
      <c r="Q157" t="s">
        <v>769</v>
      </c>
      <c r="R157">
        <v>1</v>
      </c>
      <c r="S157" t="s">
        <v>609</v>
      </c>
      <c r="T157">
        <v>0</v>
      </c>
      <c r="U157" t="s">
        <v>610</v>
      </c>
      <c r="V157">
        <v>1252102</v>
      </c>
      <c r="X157">
        <v>1252102</v>
      </c>
      <c r="Y157">
        <v>1</v>
      </c>
      <c r="Z157" s="5">
        <v>46007.260416666664</v>
      </c>
      <c r="AA157" s="5">
        <v>46007.260416666664</v>
      </c>
      <c r="AB157">
        <v>10</v>
      </c>
      <c r="AC157">
        <v>1</v>
      </c>
      <c r="AD157">
        <v>557612</v>
      </c>
      <c r="AE157">
        <v>0</v>
      </c>
      <c r="AF157" s="5">
        <v>46002.440972222219</v>
      </c>
      <c r="AG157" s="5">
        <v>46002.440972222219</v>
      </c>
      <c r="AH157" s="5">
        <v>46007.260416666664</v>
      </c>
      <c r="AI157">
        <v>1</v>
      </c>
    </row>
    <row r="158" spans="1:35" x14ac:dyDescent="0.2">
      <c r="A158" t="s">
        <v>782</v>
      </c>
      <c r="B158" t="s">
        <v>604</v>
      </c>
      <c r="C158" t="s">
        <v>605</v>
      </c>
      <c r="D158">
        <v>342116</v>
      </c>
      <c r="E158" t="s">
        <v>606</v>
      </c>
      <c r="F158">
        <v>14796</v>
      </c>
      <c r="G158">
        <v>70690</v>
      </c>
      <c r="J158">
        <v>148836</v>
      </c>
      <c r="K158">
        <v>0</v>
      </c>
      <c r="L158">
        <v>1</v>
      </c>
      <c r="M158">
        <v>1</v>
      </c>
      <c r="N158">
        <v>648953</v>
      </c>
      <c r="O158" t="s">
        <v>607</v>
      </c>
      <c r="P158">
        <v>319911</v>
      </c>
      <c r="Q158" t="s">
        <v>769</v>
      </c>
      <c r="R158">
        <v>1</v>
      </c>
      <c r="S158" t="s">
        <v>609</v>
      </c>
      <c r="T158">
        <v>0</v>
      </c>
      <c r="U158" t="s">
        <v>610</v>
      </c>
      <c r="V158">
        <v>1252102</v>
      </c>
      <c r="X158">
        <v>1252102</v>
      </c>
      <c r="Y158">
        <v>1</v>
      </c>
      <c r="Z158" s="5">
        <v>46007.259722222225</v>
      </c>
      <c r="AA158" s="5">
        <v>46007.260416666664</v>
      </c>
      <c r="AB158">
        <v>43</v>
      </c>
      <c r="AC158">
        <v>3</v>
      </c>
      <c r="AD158">
        <v>557612</v>
      </c>
      <c r="AE158">
        <v>0</v>
      </c>
      <c r="AF158" s="5">
        <v>46002.440972222219</v>
      </c>
      <c r="AG158" s="5">
        <v>46002.440972222219</v>
      </c>
      <c r="AH158" s="5">
        <v>46007.260416666664</v>
      </c>
      <c r="AI158">
        <v>1</v>
      </c>
    </row>
    <row r="159" spans="1:35" x14ac:dyDescent="0.2">
      <c r="A159" t="s">
        <v>783</v>
      </c>
      <c r="B159" t="s">
        <v>604</v>
      </c>
      <c r="C159" t="s">
        <v>605</v>
      </c>
      <c r="D159">
        <v>342116</v>
      </c>
      <c r="E159" t="s">
        <v>606</v>
      </c>
      <c r="F159">
        <v>14796</v>
      </c>
      <c r="G159">
        <v>70690</v>
      </c>
      <c r="J159">
        <v>148836</v>
      </c>
      <c r="K159">
        <v>0</v>
      </c>
      <c r="L159">
        <v>0</v>
      </c>
      <c r="M159">
        <v>0</v>
      </c>
      <c r="N159">
        <v>647295</v>
      </c>
      <c r="O159" t="s">
        <v>607</v>
      </c>
      <c r="P159">
        <v>319911</v>
      </c>
      <c r="Q159" t="s">
        <v>769</v>
      </c>
      <c r="R159">
        <v>1</v>
      </c>
      <c r="S159" t="s">
        <v>609</v>
      </c>
      <c r="T159">
        <v>0</v>
      </c>
      <c r="U159" t="s">
        <v>610</v>
      </c>
      <c r="V159">
        <v>-1</v>
      </c>
      <c r="X159">
        <v>1252102</v>
      </c>
      <c r="Z159" s="5">
        <v>46007.259722222225</v>
      </c>
      <c r="AA159" s="5">
        <v>46007.259722222225</v>
      </c>
      <c r="AC159">
        <v>0</v>
      </c>
      <c r="AD159">
        <v>557612</v>
      </c>
      <c r="AE159">
        <v>0</v>
      </c>
      <c r="AF159" s="5">
        <v>46002.440972222219</v>
      </c>
      <c r="AG159" s="5">
        <v>46002.440972222219</v>
      </c>
      <c r="AI159">
        <v>1</v>
      </c>
    </row>
    <row r="160" spans="1:35" x14ac:dyDescent="0.2">
      <c r="A160" t="s">
        <v>784</v>
      </c>
      <c r="B160" t="s">
        <v>604</v>
      </c>
      <c r="C160" t="s">
        <v>605</v>
      </c>
      <c r="D160">
        <v>342116</v>
      </c>
      <c r="E160" t="s">
        <v>606</v>
      </c>
      <c r="F160">
        <v>14796</v>
      </c>
      <c r="G160">
        <v>70690</v>
      </c>
      <c r="J160">
        <v>148836</v>
      </c>
      <c r="K160">
        <v>0</v>
      </c>
      <c r="L160">
        <v>1</v>
      </c>
      <c r="M160">
        <v>1</v>
      </c>
      <c r="N160">
        <v>647404</v>
      </c>
      <c r="O160" t="s">
        <v>607</v>
      </c>
      <c r="P160">
        <v>319911</v>
      </c>
      <c r="Q160" t="s">
        <v>769</v>
      </c>
      <c r="R160">
        <v>1</v>
      </c>
      <c r="S160" t="s">
        <v>609</v>
      </c>
      <c r="T160">
        <v>0</v>
      </c>
      <c r="U160" t="s">
        <v>610</v>
      </c>
      <c r="V160">
        <v>1252102</v>
      </c>
      <c r="X160">
        <v>1252102</v>
      </c>
      <c r="Y160">
        <v>1</v>
      </c>
      <c r="Z160" s="5">
        <v>46007.259722222225</v>
      </c>
      <c r="AA160" s="5">
        <v>46007.259722222225</v>
      </c>
      <c r="AB160">
        <v>12</v>
      </c>
      <c r="AC160">
        <v>2</v>
      </c>
      <c r="AD160">
        <v>557612</v>
      </c>
      <c r="AE160">
        <v>0</v>
      </c>
      <c r="AF160" s="5">
        <v>46002.440972222219</v>
      </c>
      <c r="AG160" s="5">
        <v>46002.440972222219</v>
      </c>
      <c r="AH160" s="5">
        <v>46007.259722222225</v>
      </c>
      <c r="AI160">
        <v>1</v>
      </c>
    </row>
    <row r="161" spans="1:35" x14ac:dyDescent="0.2">
      <c r="A161" t="s">
        <v>785</v>
      </c>
      <c r="B161" t="s">
        <v>604</v>
      </c>
      <c r="C161" t="s">
        <v>634</v>
      </c>
      <c r="D161">
        <v>342122</v>
      </c>
      <c r="E161" t="s">
        <v>606</v>
      </c>
      <c r="F161">
        <v>14796</v>
      </c>
      <c r="G161">
        <v>70690</v>
      </c>
      <c r="J161">
        <v>148837</v>
      </c>
      <c r="K161">
        <v>0</v>
      </c>
      <c r="L161">
        <v>1</v>
      </c>
      <c r="M161">
        <v>1</v>
      </c>
      <c r="N161">
        <v>652933</v>
      </c>
      <c r="O161" t="s">
        <v>607</v>
      </c>
      <c r="P161">
        <v>347331</v>
      </c>
      <c r="Q161" t="s">
        <v>786</v>
      </c>
      <c r="R161">
        <v>1</v>
      </c>
      <c r="S161" t="s">
        <v>609</v>
      </c>
      <c r="T161">
        <v>1</v>
      </c>
      <c r="U161" t="s">
        <v>610</v>
      </c>
      <c r="V161">
        <v>1356403</v>
      </c>
      <c r="X161">
        <v>1356403</v>
      </c>
      <c r="Y161">
        <v>1</v>
      </c>
      <c r="Z161" s="5">
        <v>46007.255555555559</v>
      </c>
      <c r="AA161" s="5">
        <v>46007.256249999999</v>
      </c>
      <c r="AB161">
        <v>13</v>
      </c>
      <c r="AC161">
        <v>3</v>
      </c>
      <c r="AD161">
        <v>557612</v>
      </c>
      <c r="AE161">
        <v>0</v>
      </c>
      <c r="AF161" s="5">
        <v>46002.440972222219</v>
      </c>
      <c r="AG161" s="5">
        <v>46002.440972222219</v>
      </c>
      <c r="AH161" s="5">
        <v>46007.256249999999</v>
      </c>
      <c r="AI161">
        <v>1</v>
      </c>
    </row>
    <row r="162" spans="1:35" x14ac:dyDescent="0.2">
      <c r="A162" t="s">
        <v>787</v>
      </c>
      <c r="B162" t="s">
        <v>604</v>
      </c>
      <c r="C162" t="s">
        <v>634</v>
      </c>
      <c r="D162">
        <v>342122</v>
      </c>
      <c r="E162" t="s">
        <v>606</v>
      </c>
      <c r="F162">
        <v>14796</v>
      </c>
      <c r="G162">
        <v>70690</v>
      </c>
      <c r="J162">
        <v>148837</v>
      </c>
      <c r="K162">
        <v>0</v>
      </c>
      <c r="L162">
        <v>1</v>
      </c>
      <c r="M162">
        <v>1</v>
      </c>
      <c r="N162">
        <v>647496</v>
      </c>
      <c r="O162" t="s">
        <v>607</v>
      </c>
      <c r="P162">
        <v>347331</v>
      </c>
      <c r="Q162" t="s">
        <v>786</v>
      </c>
      <c r="R162">
        <v>1</v>
      </c>
      <c r="S162" t="s">
        <v>609</v>
      </c>
      <c r="T162">
        <v>1</v>
      </c>
      <c r="U162" t="s">
        <v>610</v>
      </c>
      <c r="V162">
        <v>1356404</v>
      </c>
      <c r="X162">
        <v>1356403</v>
      </c>
      <c r="Y162">
        <v>0</v>
      </c>
      <c r="Z162" s="5">
        <v>46007.254166666666</v>
      </c>
      <c r="AA162" s="5">
        <v>46007.254166666666</v>
      </c>
      <c r="AB162">
        <v>11</v>
      </c>
      <c r="AC162">
        <v>1</v>
      </c>
      <c r="AD162">
        <v>557612</v>
      </c>
      <c r="AE162">
        <v>0</v>
      </c>
      <c r="AF162" s="5">
        <v>46002.440972222219</v>
      </c>
      <c r="AG162" s="5">
        <v>46002.440972222219</v>
      </c>
      <c r="AH162" s="5">
        <v>46007.254166666666</v>
      </c>
      <c r="AI162">
        <v>1</v>
      </c>
    </row>
    <row r="163" spans="1:35" x14ac:dyDescent="0.2">
      <c r="A163" t="s">
        <v>788</v>
      </c>
      <c r="B163" t="s">
        <v>604</v>
      </c>
      <c r="C163" t="s">
        <v>634</v>
      </c>
      <c r="D163">
        <v>342122</v>
      </c>
      <c r="E163" t="s">
        <v>606</v>
      </c>
      <c r="F163">
        <v>14796</v>
      </c>
      <c r="G163">
        <v>70690</v>
      </c>
      <c r="J163">
        <v>148837</v>
      </c>
      <c r="K163">
        <v>0</v>
      </c>
      <c r="L163">
        <v>1</v>
      </c>
      <c r="M163">
        <v>1</v>
      </c>
      <c r="N163">
        <v>647404</v>
      </c>
      <c r="O163" t="s">
        <v>607</v>
      </c>
      <c r="P163">
        <v>347331</v>
      </c>
      <c r="Q163" t="s">
        <v>786</v>
      </c>
      <c r="R163">
        <v>1</v>
      </c>
      <c r="S163" t="s">
        <v>609</v>
      </c>
      <c r="T163">
        <v>1</v>
      </c>
      <c r="U163" t="s">
        <v>610</v>
      </c>
      <c r="V163">
        <v>1356403</v>
      </c>
      <c r="X163">
        <v>1356403</v>
      </c>
      <c r="Y163">
        <v>1</v>
      </c>
      <c r="Z163" s="5">
        <v>46007.254166666666</v>
      </c>
      <c r="AA163" s="5">
        <v>46007.254166666666</v>
      </c>
      <c r="AB163">
        <v>14</v>
      </c>
      <c r="AC163">
        <v>1</v>
      </c>
      <c r="AD163">
        <v>557612</v>
      </c>
      <c r="AE163">
        <v>0</v>
      </c>
      <c r="AF163" s="5">
        <v>46002.440972222219</v>
      </c>
      <c r="AG163" s="5">
        <v>46002.440972222219</v>
      </c>
      <c r="AH163" s="5">
        <v>46007.254166666666</v>
      </c>
      <c r="AI163">
        <v>1</v>
      </c>
    </row>
    <row r="164" spans="1:35" x14ac:dyDescent="0.2">
      <c r="A164" t="s">
        <v>789</v>
      </c>
      <c r="B164" t="s">
        <v>604</v>
      </c>
      <c r="C164" t="s">
        <v>634</v>
      </c>
      <c r="D164">
        <v>342122</v>
      </c>
      <c r="E164" t="s">
        <v>606</v>
      </c>
      <c r="F164">
        <v>14796</v>
      </c>
      <c r="G164">
        <v>70690</v>
      </c>
      <c r="J164">
        <v>148837</v>
      </c>
      <c r="K164">
        <v>0</v>
      </c>
      <c r="L164">
        <v>1</v>
      </c>
      <c r="M164">
        <v>1</v>
      </c>
      <c r="N164">
        <v>651452</v>
      </c>
      <c r="O164" t="s">
        <v>607</v>
      </c>
      <c r="P164">
        <v>347331</v>
      </c>
      <c r="Q164" t="s">
        <v>786</v>
      </c>
      <c r="R164">
        <v>1</v>
      </c>
      <c r="S164" t="s">
        <v>609</v>
      </c>
      <c r="T164">
        <v>1</v>
      </c>
      <c r="U164" t="s">
        <v>610</v>
      </c>
      <c r="V164">
        <v>1356404</v>
      </c>
      <c r="X164">
        <v>1356403</v>
      </c>
      <c r="Y164">
        <v>0</v>
      </c>
      <c r="Z164" s="5">
        <v>46007.253472222219</v>
      </c>
      <c r="AA164" s="5">
        <v>46007.253472222219</v>
      </c>
      <c r="AB164">
        <v>16</v>
      </c>
      <c r="AC164">
        <v>2</v>
      </c>
      <c r="AD164">
        <v>557612</v>
      </c>
      <c r="AE164">
        <v>0</v>
      </c>
      <c r="AF164" s="5">
        <v>46002.440972222219</v>
      </c>
      <c r="AG164" s="5">
        <v>46002.440972222219</v>
      </c>
      <c r="AH164" s="5">
        <v>46007.253472222219</v>
      </c>
      <c r="AI164">
        <v>1</v>
      </c>
    </row>
    <row r="165" spans="1:35" x14ac:dyDescent="0.2">
      <c r="A165" t="s">
        <v>790</v>
      </c>
      <c r="B165" t="s">
        <v>604</v>
      </c>
      <c r="C165" t="s">
        <v>634</v>
      </c>
      <c r="D165">
        <v>342122</v>
      </c>
      <c r="E165" t="s">
        <v>606</v>
      </c>
      <c r="F165">
        <v>14796</v>
      </c>
      <c r="G165">
        <v>70690</v>
      </c>
      <c r="J165">
        <v>148837</v>
      </c>
      <c r="K165">
        <v>0</v>
      </c>
      <c r="L165">
        <v>1</v>
      </c>
      <c r="M165">
        <v>1</v>
      </c>
      <c r="N165">
        <v>647739</v>
      </c>
      <c r="O165" t="s">
        <v>607</v>
      </c>
      <c r="P165">
        <v>347331</v>
      </c>
      <c r="Q165" t="s">
        <v>786</v>
      </c>
      <c r="R165">
        <v>1</v>
      </c>
      <c r="S165" t="s">
        <v>609</v>
      </c>
      <c r="T165">
        <v>1</v>
      </c>
      <c r="U165" t="s">
        <v>610</v>
      </c>
      <c r="V165">
        <v>1356404</v>
      </c>
      <c r="X165">
        <v>1356403</v>
      </c>
      <c r="Y165">
        <v>0</v>
      </c>
      <c r="Z165" s="5">
        <v>46007.255555555559</v>
      </c>
      <c r="AA165" s="5">
        <v>46007.256249999999</v>
      </c>
      <c r="AB165">
        <v>12</v>
      </c>
      <c r="AC165">
        <v>2</v>
      </c>
      <c r="AD165">
        <v>557612</v>
      </c>
      <c r="AE165">
        <v>0</v>
      </c>
      <c r="AF165" s="5">
        <v>46002.440972222219</v>
      </c>
      <c r="AG165" s="5">
        <v>46002.440972222219</v>
      </c>
      <c r="AH165" s="5">
        <v>46007.256249999999</v>
      </c>
      <c r="AI165">
        <v>1</v>
      </c>
    </row>
    <row r="166" spans="1:35" x14ac:dyDescent="0.2">
      <c r="A166" t="s">
        <v>791</v>
      </c>
      <c r="B166" t="s">
        <v>604</v>
      </c>
      <c r="C166" t="s">
        <v>634</v>
      </c>
      <c r="D166">
        <v>342122</v>
      </c>
      <c r="E166" t="s">
        <v>606</v>
      </c>
      <c r="F166">
        <v>14796</v>
      </c>
      <c r="G166">
        <v>70690</v>
      </c>
      <c r="J166">
        <v>148837</v>
      </c>
      <c r="K166">
        <v>0</v>
      </c>
      <c r="L166">
        <v>1</v>
      </c>
      <c r="M166">
        <v>1</v>
      </c>
      <c r="N166">
        <v>647411</v>
      </c>
      <c r="O166" t="s">
        <v>607</v>
      </c>
      <c r="P166">
        <v>347331</v>
      </c>
      <c r="Q166" t="s">
        <v>786</v>
      </c>
      <c r="R166">
        <v>1</v>
      </c>
      <c r="S166" t="s">
        <v>609</v>
      </c>
      <c r="T166">
        <v>1</v>
      </c>
      <c r="U166" t="s">
        <v>610</v>
      </c>
      <c r="V166">
        <v>1356403</v>
      </c>
      <c r="X166">
        <v>1356403</v>
      </c>
      <c r="Y166">
        <v>1</v>
      </c>
      <c r="Z166" s="5">
        <v>46007.254861111112</v>
      </c>
      <c r="AA166" s="5">
        <v>46007.254861111112</v>
      </c>
      <c r="AB166">
        <v>5</v>
      </c>
      <c r="AC166">
        <v>2</v>
      </c>
      <c r="AD166">
        <v>557612</v>
      </c>
      <c r="AE166">
        <v>0</v>
      </c>
      <c r="AF166" s="5">
        <v>46002.440972222219</v>
      </c>
      <c r="AG166" s="5">
        <v>46002.440972222219</v>
      </c>
      <c r="AH166" s="5">
        <v>46007.254861111112</v>
      </c>
      <c r="AI166">
        <v>1</v>
      </c>
    </row>
    <row r="167" spans="1:35" x14ac:dyDescent="0.2">
      <c r="A167" t="s">
        <v>792</v>
      </c>
      <c r="B167" t="s">
        <v>604</v>
      </c>
      <c r="C167" t="s">
        <v>634</v>
      </c>
      <c r="D167">
        <v>342122</v>
      </c>
      <c r="E167" t="s">
        <v>606</v>
      </c>
      <c r="F167">
        <v>14796</v>
      </c>
      <c r="G167">
        <v>70690</v>
      </c>
      <c r="J167">
        <v>148837</v>
      </c>
      <c r="K167">
        <v>0</v>
      </c>
      <c r="L167">
        <v>1</v>
      </c>
      <c r="M167">
        <v>1</v>
      </c>
      <c r="N167">
        <v>657525</v>
      </c>
      <c r="O167" t="s">
        <v>607</v>
      </c>
      <c r="P167">
        <v>347331</v>
      </c>
      <c r="Q167" t="s">
        <v>786</v>
      </c>
      <c r="R167">
        <v>1</v>
      </c>
      <c r="S167" t="s">
        <v>609</v>
      </c>
      <c r="T167">
        <v>1</v>
      </c>
      <c r="U167" t="s">
        <v>610</v>
      </c>
      <c r="V167">
        <v>1356404</v>
      </c>
      <c r="X167">
        <v>1356403</v>
      </c>
      <c r="Y167">
        <v>0</v>
      </c>
      <c r="Z167" s="5">
        <v>46007.254166666666</v>
      </c>
      <c r="AA167" s="5">
        <v>46007.254166666666</v>
      </c>
      <c r="AB167">
        <v>7</v>
      </c>
      <c r="AC167">
        <v>1</v>
      </c>
      <c r="AD167">
        <v>557612</v>
      </c>
      <c r="AE167">
        <v>0</v>
      </c>
      <c r="AF167" s="5">
        <v>46002.440972222219</v>
      </c>
      <c r="AG167" s="5">
        <v>46002.440972222219</v>
      </c>
      <c r="AH167" s="5">
        <v>46007.254166666666</v>
      </c>
      <c r="AI167">
        <v>1</v>
      </c>
    </row>
    <row r="168" spans="1:35" x14ac:dyDescent="0.2">
      <c r="A168" t="s">
        <v>793</v>
      </c>
      <c r="B168" t="s">
        <v>604</v>
      </c>
      <c r="C168" t="s">
        <v>634</v>
      </c>
      <c r="D168">
        <v>342122</v>
      </c>
      <c r="E168" t="s">
        <v>606</v>
      </c>
      <c r="F168">
        <v>14796</v>
      </c>
      <c r="G168">
        <v>70690</v>
      </c>
      <c r="J168">
        <v>148837</v>
      </c>
      <c r="K168">
        <v>0</v>
      </c>
      <c r="L168">
        <v>1</v>
      </c>
      <c r="M168">
        <v>1</v>
      </c>
      <c r="N168">
        <v>648953</v>
      </c>
      <c r="O168" t="s">
        <v>607</v>
      </c>
      <c r="P168">
        <v>347331</v>
      </c>
      <c r="Q168" t="s">
        <v>786</v>
      </c>
      <c r="R168">
        <v>1</v>
      </c>
      <c r="S168" t="s">
        <v>609</v>
      </c>
      <c r="T168">
        <v>1</v>
      </c>
      <c r="U168" t="s">
        <v>610</v>
      </c>
      <c r="V168">
        <v>1356404</v>
      </c>
      <c r="X168">
        <v>1356403</v>
      </c>
      <c r="Y168">
        <v>0</v>
      </c>
      <c r="Z168" s="5">
        <v>46007.254166666666</v>
      </c>
      <c r="AA168" s="5">
        <v>46007.254166666666</v>
      </c>
      <c r="AB168">
        <v>7</v>
      </c>
      <c r="AC168">
        <v>3</v>
      </c>
      <c r="AD168">
        <v>557612</v>
      </c>
      <c r="AE168">
        <v>0</v>
      </c>
      <c r="AF168" s="5">
        <v>46002.440972222219</v>
      </c>
      <c r="AG168" s="5">
        <v>46002.440972222219</v>
      </c>
      <c r="AH168" s="5">
        <v>46007.254166666666</v>
      </c>
      <c r="AI168">
        <v>1</v>
      </c>
    </row>
    <row r="169" spans="1:35" x14ac:dyDescent="0.2">
      <c r="A169" t="s">
        <v>794</v>
      </c>
      <c r="B169" t="s">
        <v>604</v>
      </c>
      <c r="C169" t="s">
        <v>634</v>
      </c>
      <c r="D169">
        <v>342122</v>
      </c>
      <c r="E169" t="s">
        <v>606</v>
      </c>
      <c r="F169">
        <v>14796</v>
      </c>
      <c r="G169">
        <v>70690</v>
      </c>
      <c r="J169">
        <v>148837</v>
      </c>
      <c r="K169">
        <v>0</v>
      </c>
      <c r="L169">
        <v>1</v>
      </c>
      <c r="M169">
        <v>1</v>
      </c>
      <c r="N169">
        <v>648951</v>
      </c>
      <c r="O169" t="s">
        <v>607</v>
      </c>
      <c r="P169">
        <v>347331</v>
      </c>
      <c r="Q169" t="s">
        <v>786</v>
      </c>
      <c r="R169">
        <v>1</v>
      </c>
      <c r="S169" t="s">
        <v>609</v>
      </c>
      <c r="T169">
        <v>1</v>
      </c>
      <c r="U169" t="s">
        <v>610</v>
      </c>
      <c r="V169">
        <v>1356405</v>
      </c>
      <c r="X169">
        <v>1356403</v>
      </c>
      <c r="Y169">
        <v>0</v>
      </c>
      <c r="Z169" s="5">
        <v>46007.254861111112</v>
      </c>
      <c r="AA169" s="5">
        <v>46007.254861111112</v>
      </c>
      <c r="AB169">
        <v>1</v>
      </c>
      <c r="AC169">
        <v>1</v>
      </c>
      <c r="AD169">
        <v>557612</v>
      </c>
      <c r="AE169">
        <v>0</v>
      </c>
      <c r="AF169" s="5">
        <v>46002.440972222219</v>
      </c>
      <c r="AG169" s="5">
        <v>46002.440972222219</v>
      </c>
      <c r="AH169" s="5">
        <v>46007.254861111112</v>
      </c>
      <c r="AI169">
        <v>1</v>
      </c>
    </row>
    <row r="170" spans="1:35" x14ac:dyDescent="0.2">
      <c r="A170" t="s">
        <v>795</v>
      </c>
      <c r="B170" t="s">
        <v>604</v>
      </c>
      <c r="C170" t="s">
        <v>634</v>
      </c>
      <c r="D170">
        <v>342122</v>
      </c>
      <c r="E170" t="s">
        <v>606</v>
      </c>
      <c r="F170">
        <v>14796</v>
      </c>
      <c r="G170">
        <v>70690</v>
      </c>
      <c r="J170">
        <v>148837</v>
      </c>
      <c r="K170">
        <v>0</v>
      </c>
      <c r="L170">
        <v>1</v>
      </c>
      <c r="M170">
        <v>1</v>
      </c>
      <c r="N170">
        <v>652958</v>
      </c>
      <c r="O170" t="s">
        <v>607</v>
      </c>
      <c r="P170">
        <v>347331</v>
      </c>
      <c r="Q170" t="s">
        <v>786</v>
      </c>
      <c r="R170">
        <v>1</v>
      </c>
      <c r="S170" t="s">
        <v>609</v>
      </c>
      <c r="T170">
        <v>1</v>
      </c>
      <c r="U170" t="s">
        <v>610</v>
      </c>
      <c r="V170">
        <v>1356402</v>
      </c>
      <c r="X170">
        <v>1356403</v>
      </c>
      <c r="Y170">
        <v>0</v>
      </c>
      <c r="Z170" s="5">
        <v>46007.253472222219</v>
      </c>
      <c r="AA170" s="5">
        <v>46007.253472222219</v>
      </c>
      <c r="AB170">
        <v>4</v>
      </c>
      <c r="AC170">
        <v>1</v>
      </c>
      <c r="AD170">
        <v>557612</v>
      </c>
      <c r="AE170">
        <v>0</v>
      </c>
      <c r="AF170" s="5">
        <v>46002.440972222219</v>
      </c>
      <c r="AG170" s="5">
        <v>46002.440972222219</v>
      </c>
      <c r="AH170" s="5">
        <v>46007.253472222219</v>
      </c>
      <c r="AI170">
        <v>1</v>
      </c>
    </row>
    <row r="171" spans="1:35" x14ac:dyDescent="0.2">
      <c r="A171" t="s">
        <v>796</v>
      </c>
      <c r="B171" t="s">
        <v>604</v>
      </c>
      <c r="C171" t="s">
        <v>634</v>
      </c>
      <c r="D171">
        <v>342122</v>
      </c>
      <c r="E171" t="s">
        <v>606</v>
      </c>
      <c r="F171">
        <v>14796</v>
      </c>
      <c r="G171">
        <v>70690</v>
      </c>
      <c r="J171">
        <v>148837</v>
      </c>
      <c r="K171">
        <v>0</v>
      </c>
      <c r="L171">
        <v>1</v>
      </c>
      <c r="M171">
        <v>1</v>
      </c>
      <c r="N171">
        <v>652940</v>
      </c>
      <c r="O171" t="s">
        <v>607</v>
      </c>
      <c r="P171">
        <v>347331</v>
      </c>
      <c r="Q171" t="s">
        <v>786</v>
      </c>
      <c r="R171">
        <v>1</v>
      </c>
      <c r="S171" t="s">
        <v>609</v>
      </c>
      <c r="T171">
        <v>1</v>
      </c>
      <c r="U171" t="s">
        <v>610</v>
      </c>
      <c r="V171">
        <v>1356404</v>
      </c>
      <c r="X171">
        <v>1356403</v>
      </c>
      <c r="Y171">
        <v>0</v>
      </c>
      <c r="Z171" s="5">
        <v>46007.25277777778</v>
      </c>
      <c r="AA171" s="5">
        <v>46007.25277777778</v>
      </c>
      <c r="AB171">
        <v>6</v>
      </c>
      <c r="AC171">
        <v>3</v>
      </c>
      <c r="AD171">
        <v>557612</v>
      </c>
      <c r="AE171">
        <v>0</v>
      </c>
      <c r="AF171" s="5">
        <v>46002.440972222219</v>
      </c>
      <c r="AG171" s="5">
        <v>46002.440972222219</v>
      </c>
      <c r="AH171" s="5">
        <v>46007.25277777778</v>
      </c>
      <c r="AI171">
        <v>1</v>
      </c>
    </row>
    <row r="172" spans="1:35" x14ac:dyDescent="0.2">
      <c r="A172" t="s">
        <v>797</v>
      </c>
      <c r="B172" t="s">
        <v>604</v>
      </c>
      <c r="C172" t="s">
        <v>634</v>
      </c>
      <c r="D172">
        <v>342122</v>
      </c>
      <c r="E172" t="s">
        <v>606</v>
      </c>
      <c r="F172">
        <v>14796</v>
      </c>
      <c r="G172">
        <v>70690</v>
      </c>
      <c r="J172">
        <v>148837</v>
      </c>
      <c r="K172">
        <v>0</v>
      </c>
      <c r="L172">
        <v>1</v>
      </c>
      <c r="M172">
        <v>1</v>
      </c>
      <c r="N172">
        <v>647306</v>
      </c>
      <c r="O172" t="s">
        <v>607</v>
      </c>
      <c r="P172">
        <v>347331</v>
      </c>
      <c r="Q172" t="s">
        <v>786</v>
      </c>
      <c r="R172">
        <v>1</v>
      </c>
      <c r="S172" t="s">
        <v>609</v>
      </c>
      <c r="T172">
        <v>1</v>
      </c>
      <c r="U172" t="s">
        <v>610</v>
      </c>
      <c r="V172">
        <v>1356403</v>
      </c>
      <c r="X172">
        <v>1356403</v>
      </c>
      <c r="Y172">
        <v>1</v>
      </c>
      <c r="Z172" s="5">
        <v>46007.254861111112</v>
      </c>
      <c r="AA172" s="5">
        <v>46007.254861111112</v>
      </c>
      <c r="AB172">
        <v>5</v>
      </c>
      <c r="AC172">
        <v>1</v>
      </c>
      <c r="AD172">
        <v>557612</v>
      </c>
      <c r="AE172">
        <v>0</v>
      </c>
      <c r="AF172" s="5">
        <v>46002.440972222219</v>
      </c>
      <c r="AG172" s="5">
        <v>46002.440972222219</v>
      </c>
      <c r="AH172" s="5">
        <v>46007.254861111112</v>
      </c>
      <c r="AI172">
        <v>1</v>
      </c>
    </row>
    <row r="173" spans="1:35" x14ac:dyDescent="0.2">
      <c r="A173" t="s">
        <v>798</v>
      </c>
      <c r="B173" t="s">
        <v>604</v>
      </c>
      <c r="C173" t="s">
        <v>634</v>
      </c>
      <c r="D173">
        <v>342122</v>
      </c>
      <c r="E173" t="s">
        <v>606</v>
      </c>
      <c r="F173">
        <v>14796</v>
      </c>
      <c r="G173">
        <v>70690</v>
      </c>
      <c r="J173">
        <v>148837</v>
      </c>
      <c r="K173">
        <v>0</v>
      </c>
      <c r="L173">
        <v>1</v>
      </c>
      <c r="M173">
        <v>1</v>
      </c>
      <c r="N173">
        <v>652934</v>
      </c>
      <c r="O173" t="s">
        <v>607</v>
      </c>
      <c r="P173">
        <v>347331</v>
      </c>
      <c r="Q173" t="s">
        <v>786</v>
      </c>
      <c r="R173">
        <v>1</v>
      </c>
      <c r="S173" t="s">
        <v>609</v>
      </c>
      <c r="T173">
        <v>1</v>
      </c>
      <c r="U173" t="s">
        <v>610</v>
      </c>
      <c r="V173">
        <v>1356403</v>
      </c>
      <c r="X173">
        <v>1356403</v>
      </c>
      <c r="Y173">
        <v>1</v>
      </c>
      <c r="Z173" s="5">
        <v>46007.25277777778</v>
      </c>
      <c r="AA173" s="5">
        <v>46007.25277777778</v>
      </c>
      <c r="AB173">
        <v>4</v>
      </c>
      <c r="AC173">
        <v>1</v>
      </c>
      <c r="AD173">
        <v>557612</v>
      </c>
      <c r="AE173">
        <v>0</v>
      </c>
      <c r="AF173" s="5">
        <v>46002.440972222219</v>
      </c>
      <c r="AG173" s="5">
        <v>46002.440972222219</v>
      </c>
      <c r="AH173" s="5">
        <v>46007.25277777778</v>
      </c>
      <c r="AI173">
        <v>1</v>
      </c>
    </row>
    <row r="174" spans="1:35" x14ac:dyDescent="0.2">
      <c r="A174" t="s">
        <v>799</v>
      </c>
      <c r="B174" t="s">
        <v>604</v>
      </c>
      <c r="C174" t="s">
        <v>634</v>
      </c>
      <c r="D174">
        <v>342122</v>
      </c>
      <c r="E174" t="s">
        <v>606</v>
      </c>
      <c r="F174">
        <v>14796</v>
      </c>
      <c r="G174">
        <v>70690</v>
      </c>
      <c r="J174">
        <v>148837</v>
      </c>
      <c r="K174">
        <v>0</v>
      </c>
      <c r="L174">
        <v>1</v>
      </c>
      <c r="M174">
        <v>1</v>
      </c>
      <c r="N174">
        <v>648959</v>
      </c>
      <c r="O174" t="s">
        <v>607</v>
      </c>
      <c r="P174">
        <v>347331</v>
      </c>
      <c r="Q174" t="s">
        <v>786</v>
      </c>
      <c r="R174">
        <v>1</v>
      </c>
      <c r="S174" t="s">
        <v>609</v>
      </c>
      <c r="T174">
        <v>1</v>
      </c>
      <c r="U174" t="s">
        <v>610</v>
      </c>
      <c r="V174">
        <v>1356404</v>
      </c>
      <c r="X174">
        <v>1356403</v>
      </c>
      <c r="Y174">
        <v>0</v>
      </c>
      <c r="Z174" s="5">
        <v>46007.25277777778</v>
      </c>
      <c r="AA174" s="5">
        <v>46007.253472222219</v>
      </c>
      <c r="AB174">
        <v>6</v>
      </c>
      <c r="AC174">
        <v>1</v>
      </c>
      <c r="AD174">
        <v>557612</v>
      </c>
      <c r="AE174">
        <v>0</v>
      </c>
      <c r="AF174" s="5">
        <v>46002.440972222219</v>
      </c>
      <c r="AG174" s="5">
        <v>46002.440972222219</v>
      </c>
      <c r="AH174" s="5">
        <v>46007.253472222219</v>
      </c>
      <c r="AI174">
        <v>1</v>
      </c>
    </row>
    <row r="175" spans="1:35" x14ac:dyDescent="0.2">
      <c r="A175" t="s">
        <v>800</v>
      </c>
      <c r="B175" t="s">
        <v>604</v>
      </c>
      <c r="C175" t="s">
        <v>634</v>
      </c>
      <c r="D175">
        <v>342122</v>
      </c>
      <c r="E175" t="s">
        <v>606</v>
      </c>
      <c r="F175">
        <v>14796</v>
      </c>
      <c r="G175">
        <v>70690</v>
      </c>
      <c r="J175">
        <v>148837</v>
      </c>
      <c r="K175">
        <v>0</v>
      </c>
      <c r="L175">
        <v>1</v>
      </c>
      <c r="M175">
        <v>1</v>
      </c>
      <c r="N175">
        <v>647426</v>
      </c>
      <c r="O175" t="s">
        <v>607</v>
      </c>
      <c r="P175">
        <v>347331</v>
      </c>
      <c r="Q175" t="s">
        <v>786</v>
      </c>
      <c r="R175">
        <v>1</v>
      </c>
      <c r="S175" t="s">
        <v>609</v>
      </c>
      <c r="T175">
        <v>1</v>
      </c>
      <c r="U175" t="s">
        <v>610</v>
      </c>
      <c r="V175">
        <v>1356404</v>
      </c>
      <c r="X175">
        <v>1356403</v>
      </c>
      <c r="Y175">
        <v>0</v>
      </c>
      <c r="Z175" s="5">
        <v>46007.254166666666</v>
      </c>
      <c r="AA175" s="5">
        <v>46007.254861111112</v>
      </c>
      <c r="AB175">
        <v>17</v>
      </c>
      <c r="AC175">
        <v>3</v>
      </c>
      <c r="AD175">
        <v>557612</v>
      </c>
      <c r="AE175">
        <v>0</v>
      </c>
      <c r="AF175" s="5">
        <v>46002.440972222219</v>
      </c>
      <c r="AG175" s="5">
        <v>46002.440972222219</v>
      </c>
      <c r="AH175" s="5">
        <v>46007.254861111112</v>
      </c>
      <c r="AI175">
        <v>1</v>
      </c>
    </row>
    <row r="176" spans="1:35" x14ac:dyDescent="0.2">
      <c r="A176" t="s">
        <v>801</v>
      </c>
      <c r="B176" t="s">
        <v>604</v>
      </c>
      <c r="C176" t="s">
        <v>634</v>
      </c>
      <c r="D176">
        <v>342122</v>
      </c>
      <c r="E176" t="s">
        <v>606</v>
      </c>
      <c r="F176">
        <v>14796</v>
      </c>
      <c r="G176">
        <v>70690</v>
      </c>
      <c r="J176">
        <v>148837</v>
      </c>
      <c r="K176">
        <v>0</v>
      </c>
      <c r="L176">
        <v>1</v>
      </c>
      <c r="M176">
        <v>1</v>
      </c>
      <c r="N176">
        <v>647433</v>
      </c>
      <c r="O176" t="s">
        <v>607</v>
      </c>
      <c r="P176">
        <v>347331</v>
      </c>
      <c r="Q176" t="s">
        <v>786</v>
      </c>
      <c r="R176">
        <v>1</v>
      </c>
      <c r="S176" t="s">
        <v>609</v>
      </c>
      <c r="T176">
        <v>1</v>
      </c>
      <c r="U176" t="s">
        <v>610</v>
      </c>
      <c r="V176">
        <v>1356404</v>
      </c>
      <c r="X176">
        <v>1356403</v>
      </c>
      <c r="Y176">
        <v>0</v>
      </c>
      <c r="Z176" s="5">
        <v>46007.254861111112</v>
      </c>
      <c r="AA176" s="5">
        <v>46007.254861111112</v>
      </c>
      <c r="AB176">
        <v>22</v>
      </c>
      <c r="AC176">
        <v>1</v>
      </c>
      <c r="AD176">
        <v>557612</v>
      </c>
      <c r="AE176">
        <v>0</v>
      </c>
      <c r="AF176" s="5">
        <v>46002.440972222219</v>
      </c>
      <c r="AG176" s="5">
        <v>46002.440972222219</v>
      </c>
      <c r="AH176" s="5">
        <v>46007.254861111112</v>
      </c>
      <c r="AI176">
        <v>1</v>
      </c>
    </row>
    <row r="177" spans="1:35" x14ac:dyDescent="0.2">
      <c r="A177" t="s">
        <v>802</v>
      </c>
      <c r="B177" t="s">
        <v>604</v>
      </c>
      <c r="C177" t="s">
        <v>634</v>
      </c>
      <c r="D177">
        <v>342122</v>
      </c>
      <c r="E177" t="s">
        <v>606</v>
      </c>
      <c r="F177">
        <v>14796</v>
      </c>
      <c r="G177">
        <v>70690</v>
      </c>
      <c r="J177">
        <v>148837</v>
      </c>
      <c r="K177">
        <v>0</v>
      </c>
      <c r="L177">
        <v>1</v>
      </c>
      <c r="M177">
        <v>1</v>
      </c>
      <c r="N177">
        <v>647499</v>
      </c>
      <c r="O177" t="s">
        <v>607</v>
      </c>
      <c r="P177">
        <v>347331</v>
      </c>
      <c r="Q177" t="s">
        <v>786</v>
      </c>
      <c r="R177">
        <v>1</v>
      </c>
      <c r="S177" t="s">
        <v>609</v>
      </c>
      <c r="T177">
        <v>1</v>
      </c>
      <c r="U177" t="s">
        <v>610</v>
      </c>
      <c r="V177">
        <v>1356404</v>
      </c>
      <c r="X177">
        <v>1356403</v>
      </c>
      <c r="Y177">
        <v>0</v>
      </c>
      <c r="Z177" s="5">
        <v>46007.253472222219</v>
      </c>
      <c r="AA177" s="5">
        <v>46007.253472222219</v>
      </c>
      <c r="AB177">
        <v>6</v>
      </c>
      <c r="AC177">
        <v>1</v>
      </c>
      <c r="AD177">
        <v>557612</v>
      </c>
      <c r="AE177">
        <v>0</v>
      </c>
      <c r="AF177" s="5">
        <v>46002.440972222219</v>
      </c>
      <c r="AG177" s="5">
        <v>46002.440972222219</v>
      </c>
      <c r="AH177" s="5">
        <v>46007.253472222219</v>
      </c>
      <c r="AI177">
        <v>1</v>
      </c>
    </row>
    <row r="178" spans="1:35" x14ac:dyDescent="0.2">
      <c r="A178" t="s">
        <v>803</v>
      </c>
      <c r="B178" t="s">
        <v>604</v>
      </c>
      <c r="C178" t="s">
        <v>654</v>
      </c>
      <c r="D178">
        <v>342125</v>
      </c>
      <c r="E178" t="s">
        <v>606</v>
      </c>
      <c r="F178">
        <v>14796</v>
      </c>
      <c r="G178">
        <v>70690</v>
      </c>
      <c r="J178">
        <v>148839</v>
      </c>
      <c r="K178">
        <v>0</v>
      </c>
      <c r="L178">
        <v>1</v>
      </c>
      <c r="M178">
        <v>1</v>
      </c>
      <c r="N178">
        <v>648953</v>
      </c>
      <c r="O178" t="s">
        <v>607</v>
      </c>
      <c r="P178">
        <v>339211</v>
      </c>
      <c r="Q178" t="s">
        <v>804</v>
      </c>
      <c r="R178">
        <v>1</v>
      </c>
      <c r="S178" t="s">
        <v>609</v>
      </c>
      <c r="T178">
        <v>0</v>
      </c>
      <c r="U178" t="s">
        <v>610</v>
      </c>
      <c r="V178">
        <v>1326233</v>
      </c>
      <c r="X178">
        <v>1326232</v>
      </c>
      <c r="Y178">
        <v>0</v>
      </c>
      <c r="Z178" s="5">
        <v>46007.243750000001</v>
      </c>
      <c r="AA178" s="5">
        <v>46007.244444444441</v>
      </c>
      <c r="AB178">
        <v>60</v>
      </c>
      <c r="AC178">
        <v>2</v>
      </c>
      <c r="AD178">
        <v>557612</v>
      </c>
      <c r="AE178">
        <v>0</v>
      </c>
      <c r="AF178" s="5">
        <v>46002.440972222219</v>
      </c>
      <c r="AG178" s="5">
        <v>46002.440972222219</v>
      </c>
      <c r="AH178" s="5">
        <v>46007.244444444441</v>
      </c>
      <c r="AI178">
        <v>1</v>
      </c>
    </row>
    <row r="179" spans="1:35" x14ac:dyDescent="0.2">
      <c r="A179" t="s">
        <v>805</v>
      </c>
      <c r="B179" t="s">
        <v>604</v>
      </c>
      <c r="C179" t="s">
        <v>654</v>
      </c>
      <c r="D179">
        <v>342125</v>
      </c>
      <c r="E179" t="s">
        <v>606</v>
      </c>
      <c r="F179">
        <v>14796</v>
      </c>
      <c r="G179">
        <v>70690</v>
      </c>
      <c r="J179">
        <v>148839</v>
      </c>
      <c r="K179">
        <v>0</v>
      </c>
      <c r="L179">
        <v>1</v>
      </c>
      <c r="M179">
        <v>1</v>
      </c>
      <c r="N179">
        <v>647748</v>
      </c>
      <c r="O179" t="s">
        <v>607</v>
      </c>
      <c r="P179">
        <v>339211</v>
      </c>
      <c r="Q179" t="s">
        <v>804</v>
      </c>
      <c r="R179">
        <v>1</v>
      </c>
      <c r="S179" t="s">
        <v>609</v>
      </c>
      <c r="T179">
        <v>0</v>
      </c>
      <c r="U179" t="s">
        <v>610</v>
      </c>
      <c r="V179">
        <v>1326235</v>
      </c>
      <c r="X179">
        <v>1326232</v>
      </c>
      <c r="Y179">
        <v>0</v>
      </c>
      <c r="Z179" s="5">
        <v>46007.243750000001</v>
      </c>
      <c r="AA179" s="5">
        <v>46007.244444444441</v>
      </c>
      <c r="AB179">
        <v>60</v>
      </c>
      <c r="AC179">
        <v>1</v>
      </c>
      <c r="AD179">
        <v>557612</v>
      </c>
      <c r="AE179">
        <v>0</v>
      </c>
      <c r="AF179" s="5">
        <v>46002.440972222219</v>
      </c>
      <c r="AG179" s="5">
        <v>46002.440972222219</v>
      </c>
      <c r="AH179" s="5">
        <v>46007.244444444441</v>
      </c>
      <c r="AI179">
        <v>1</v>
      </c>
    </row>
    <row r="180" spans="1:35" x14ac:dyDescent="0.2">
      <c r="A180" t="s">
        <v>806</v>
      </c>
      <c r="B180" t="s">
        <v>604</v>
      </c>
      <c r="C180" t="s">
        <v>654</v>
      </c>
      <c r="D180">
        <v>342125</v>
      </c>
      <c r="E180" t="s">
        <v>606</v>
      </c>
      <c r="F180">
        <v>14796</v>
      </c>
      <c r="G180">
        <v>70690</v>
      </c>
      <c r="J180">
        <v>148839</v>
      </c>
      <c r="K180">
        <v>0</v>
      </c>
      <c r="L180">
        <v>1</v>
      </c>
      <c r="M180">
        <v>1</v>
      </c>
      <c r="N180">
        <v>647496</v>
      </c>
      <c r="O180" t="s">
        <v>607</v>
      </c>
      <c r="P180">
        <v>339211</v>
      </c>
      <c r="Q180" t="s">
        <v>804</v>
      </c>
      <c r="R180">
        <v>1</v>
      </c>
      <c r="S180" t="s">
        <v>609</v>
      </c>
      <c r="T180">
        <v>0</v>
      </c>
      <c r="U180" t="s">
        <v>610</v>
      </c>
      <c r="V180">
        <v>1326232</v>
      </c>
      <c r="X180">
        <v>1326232</v>
      </c>
      <c r="Y180">
        <v>1</v>
      </c>
      <c r="Z180" s="5">
        <v>46007.243750000001</v>
      </c>
      <c r="AA180" s="5">
        <v>46007.244444444441</v>
      </c>
      <c r="AB180">
        <v>60</v>
      </c>
      <c r="AC180">
        <v>1</v>
      </c>
      <c r="AD180">
        <v>557612</v>
      </c>
      <c r="AE180">
        <v>0</v>
      </c>
      <c r="AF180" s="5">
        <v>46002.440972222219</v>
      </c>
      <c r="AG180" s="5">
        <v>46002.440972222219</v>
      </c>
      <c r="AH180" s="5">
        <v>46007.244444444441</v>
      </c>
      <c r="AI180">
        <v>1</v>
      </c>
    </row>
    <row r="181" spans="1:35" x14ac:dyDescent="0.2">
      <c r="A181" t="s">
        <v>807</v>
      </c>
      <c r="B181" t="s">
        <v>604</v>
      </c>
      <c r="C181" t="s">
        <v>654</v>
      </c>
      <c r="D181">
        <v>342125</v>
      </c>
      <c r="E181" t="s">
        <v>606</v>
      </c>
      <c r="F181">
        <v>14796</v>
      </c>
      <c r="G181">
        <v>70690</v>
      </c>
      <c r="J181">
        <v>148839</v>
      </c>
      <c r="K181">
        <v>0</v>
      </c>
      <c r="L181">
        <v>0</v>
      </c>
      <c r="M181">
        <v>0</v>
      </c>
      <c r="N181">
        <v>652940</v>
      </c>
      <c r="O181" t="s">
        <v>607</v>
      </c>
      <c r="P181">
        <v>339211</v>
      </c>
      <c r="Q181" t="s">
        <v>804</v>
      </c>
      <c r="R181">
        <v>1</v>
      </c>
      <c r="S181" t="s">
        <v>609</v>
      </c>
      <c r="T181">
        <v>0</v>
      </c>
      <c r="U181" t="s">
        <v>610</v>
      </c>
      <c r="V181">
        <v>-1</v>
      </c>
      <c r="X181">
        <v>1326232</v>
      </c>
      <c r="Z181" s="5">
        <v>46007.243750000001</v>
      </c>
      <c r="AA181" s="5">
        <v>46007.243750000001</v>
      </c>
      <c r="AC181">
        <v>0</v>
      </c>
      <c r="AD181">
        <v>557612</v>
      </c>
      <c r="AE181">
        <v>0</v>
      </c>
      <c r="AF181" s="5">
        <v>46002.440972222219</v>
      </c>
      <c r="AG181" s="5">
        <v>46002.440972222219</v>
      </c>
      <c r="AI181">
        <v>1</v>
      </c>
    </row>
    <row r="182" spans="1:35" x14ac:dyDescent="0.2">
      <c r="A182" t="s">
        <v>808</v>
      </c>
      <c r="B182" t="s">
        <v>604</v>
      </c>
      <c r="C182" t="s">
        <v>654</v>
      </c>
      <c r="D182">
        <v>342125</v>
      </c>
      <c r="E182" t="s">
        <v>606</v>
      </c>
      <c r="F182">
        <v>14796</v>
      </c>
      <c r="G182">
        <v>70690</v>
      </c>
      <c r="J182">
        <v>148839</v>
      </c>
      <c r="K182">
        <v>0</v>
      </c>
      <c r="L182">
        <v>1</v>
      </c>
      <c r="M182">
        <v>1</v>
      </c>
      <c r="N182">
        <v>647433</v>
      </c>
      <c r="O182" t="s">
        <v>607</v>
      </c>
      <c r="P182">
        <v>339211</v>
      </c>
      <c r="Q182" t="s">
        <v>804</v>
      </c>
      <c r="R182">
        <v>1</v>
      </c>
      <c r="S182" t="s">
        <v>609</v>
      </c>
      <c r="T182">
        <v>0</v>
      </c>
      <c r="U182" t="s">
        <v>610</v>
      </c>
      <c r="V182">
        <v>1326234</v>
      </c>
      <c r="X182">
        <v>1326232</v>
      </c>
      <c r="Y182">
        <v>0</v>
      </c>
      <c r="Z182" s="5">
        <v>46007.243750000001</v>
      </c>
      <c r="AA182" s="5">
        <v>46007.244444444441</v>
      </c>
      <c r="AB182">
        <v>60</v>
      </c>
      <c r="AC182">
        <v>1</v>
      </c>
      <c r="AD182">
        <v>557612</v>
      </c>
      <c r="AE182">
        <v>0</v>
      </c>
      <c r="AF182" s="5">
        <v>46002.440972222219</v>
      </c>
      <c r="AG182" s="5">
        <v>46002.440972222219</v>
      </c>
      <c r="AH182" s="5">
        <v>46007.244444444441</v>
      </c>
      <c r="AI182">
        <v>1</v>
      </c>
    </row>
    <row r="183" spans="1:35" x14ac:dyDescent="0.2">
      <c r="A183" t="s">
        <v>809</v>
      </c>
      <c r="B183" t="s">
        <v>604</v>
      </c>
      <c r="C183" t="s">
        <v>654</v>
      </c>
      <c r="D183">
        <v>342125</v>
      </c>
      <c r="E183" t="s">
        <v>606</v>
      </c>
      <c r="F183">
        <v>14796</v>
      </c>
      <c r="G183">
        <v>70690</v>
      </c>
      <c r="J183">
        <v>148839</v>
      </c>
      <c r="K183">
        <v>0</v>
      </c>
      <c r="L183">
        <v>1</v>
      </c>
      <c r="M183">
        <v>1</v>
      </c>
      <c r="N183">
        <v>647426</v>
      </c>
      <c r="O183" t="s">
        <v>607</v>
      </c>
      <c r="P183">
        <v>339211</v>
      </c>
      <c r="Q183" t="s">
        <v>804</v>
      </c>
      <c r="R183">
        <v>1</v>
      </c>
      <c r="S183" t="s">
        <v>609</v>
      </c>
      <c r="T183">
        <v>0</v>
      </c>
      <c r="U183" t="s">
        <v>610</v>
      </c>
      <c r="V183">
        <v>1326232</v>
      </c>
      <c r="X183">
        <v>1326232</v>
      </c>
      <c r="Y183">
        <v>1</v>
      </c>
      <c r="Z183" s="5">
        <v>46007.243750000001</v>
      </c>
      <c r="AA183" s="5">
        <v>46007.244444444441</v>
      </c>
      <c r="AB183">
        <v>60</v>
      </c>
      <c r="AC183">
        <v>2</v>
      </c>
      <c r="AD183">
        <v>557612</v>
      </c>
      <c r="AE183">
        <v>0</v>
      </c>
      <c r="AF183" s="5">
        <v>46002.440972222219</v>
      </c>
      <c r="AG183" s="5">
        <v>46002.440972222219</v>
      </c>
      <c r="AH183" s="5">
        <v>46007.244444444441</v>
      </c>
      <c r="AI183">
        <v>1</v>
      </c>
    </row>
    <row r="184" spans="1:35" x14ac:dyDescent="0.2">
      <c r="A184" t="s">
        <v>810</v>
      </c>
      <c r="B184" t="s">
        <v>604</v>
      </c>
      <c r="C184" t="s">
        <v>654</v>
      </c>
      <c r="D184">
        <v>342125</v>
      </c>
      <c r="E184" t="s">
        <v>606</v>
      </c>
      <c r="F184">
        <v>14796</v>
      </c>
      <c r="G184">
        <v>70690</v>
      </c>
      <c r="J184">
        <v>148839</v>
      </c>
      <c r="K184">
        <v>0</v>
      </c>
      <c r="L184">
        <v>1</v>
      </c>
      <c r="M184">
        <v>1</v>
      </c>
      <c r="N184">
        <v>647411</v>
      </c>
      <c r="O184" t="s">
        <v>607</v>
      </c>
      <c r="P184">
        <v>339211</v>
      </c>
      <c r="Q184" t="s">
        <v>804</v>
      </c>
      <c r="R184">
        <v>1</v>
      </c>
      <c r="S184" t="s">
        <v>609</v>
      </c>
      <c r="T184">
        <v>0</v>
      </c>
      <c r="U184" t="s">
        <v>610</v>
      </c>
      <c r="V184">
        <v>1326234</v>
      </c>
      <c r="X184">
        <v>1326232</v>
      </c>
      <c r="Y184">
        <v>0</v>
      </c>
      <c r="Z184" s="5">
        <v>46007.243750000001</v>
      </c>
      <c r="AA184" s="5">
        <v>46007.244444444441</v>
      </c>
      <c r="AB184">
        <v>60</v>
      </c>
      <c r="AC184">
        <v>2</v>
      </c>
      <c r="AD184">
        <v>557612</v>
      </c>
      <c r="AE184">
        <v>0</v>
      </c>
      <c r="AF184" s="5">
        <v>46002.440972222219</v>
      </c>
      <c r="AG184" s="5">
        <v>46002.440972222219</v>
      </c>
      <c r="AH184" s="5">
        <v>46007.244444444441</v>
      </c>
      <c r="AI184">
        <v>1</v>
      </c>
    </row>
    <row r="185" spans="1:35" x14ac:dyDescent="0.2">
      <c r="A185" t="s">
        <v>811</v>
      </c>
      <c r="B185" t="s">
        <v>604</v>
      </c>
      <c r="C185" t="s">
        <v>654</v>
      </c>
      <c r="D185">
        <v>342125</v>
      </c>
      <c r="E185" t="s">
        <v>606</v>
      </c>
      <c r="F185">
        <v>14796</v>
      </c>
      <c r="G185">
        <v>70690</v>
      </c>
      <c r="J185">
        <v>148839</v>
      </c>
      <c r="K185">
        <v>0</v>
      </c>
      <c r="L185">
        <v>0</v>
      </c>
      <c r="M185">
        <v>0</v>
      </c>
      <c r="N185">
        <v>652938</v>
      </c>
      <c r="O185" t="s">
        <v>607</v>
      </c>
      <c r="P185">
        <v>339211</v>
      </c>
      <c r="Q185" t="s">
        <v>804</v>
      </c>
      <c r="R185">
        <v>1</v>
      </c>
      <c r="S185" t="s">
        <v>609</v>
      </c>
      <c r="T185">
        <v>0</v>
      </c>
      <c r="U185" t="s">
        <v>610</v>
      </c>
      <c r="V185">
        <v>-1</v>
      </c>
      <c r="X185">
        <v>1326232</v>
      </c>
      <c r="Z185" s="5">
        <v>46007.243750000001</v>
      </c>
      <c r="AA185" s="5">
        <v>46007.243750000001</v>
      </c>
      <c r="AC185">
        <v>0</v>
      </c>
      <c r="AD185">
        <v>557612</v>
      </c>
      <c r="AE185">
        <v>0</v>
      </c>
      <c r="AF185" s="5">
        <v>46002.440972222219</v>
      </c>
      <c r="AG185" s="5">
        <v>46002.440972222219</v>
      </c>
      <c r="AI185">
        <v>1</v>
      </c>
    </row>
    <row r="186" spans="1:35" x14ac:dyDescent="0.2">
      <c r="A186" t="s">
        <v>812</v>
      </c>
      <c r="B186" t="s">
        <v>604</v>
      </c>
      <c r="C186" t="s">
        <v>654</v>
      </c>
      <c r="D186">
        <v>342125</v>
      </c>
      <c r="E186" t="s">
        <v>606</v>
      </c>
      <c r="F186">
        <v>14796</v>
      </c>
      <c r="G186">
        <v>70690</v>
      </c>
      <c r="J186">
        <v>148839</v>
      </c>
      <c r="K186">
        <v>0</v>
      </c>
      <c r="L186">
        <v>1</v>
      </c>
      <c r="M186">
        <v>1</v>
      </c>
      <c r="N186">
        <v>652958</v>
      </c>
      <c r="O186" t="s">
        <v>607</v>
      </c>
      <c r="P186">
        <v>339211</v>
      </c>
      <c r="Q186" t="s">
        <v>804</v>
      </c>
      <c r="R186">
        <v>1</v>
      </c>
      <c r="S186" t="s">
        <v>609</v>
      </c>
      <c r="T186">
        <v>0</v>
      </c>
      <c r="U186" t="s">
        <v>610</v>
      </c>
      <c r="V186">
        <v>1326235</v>
      </c>
      <c r="X186">
        <v>1326232</v>
      </c>
      <c r="Y186">
        <v>0</v>
      </c>
      <c r="Z186" s="5">
        <v>46007.243750000001</v>
      </c>
      <c r="AA186" s="5">
        <v>46007.244444444441</v>
      </c>
      <c r="AB186">
        <v>60</v>
      </c>
      <c r="AC186">
        <v>1</v>
      </c>
      <c r="AD186">
        <v>557612</v>
      </c>
      <c r="AE186">
        <v>0</v>
      </c>
      <c r="AF186" s="5">
        <v>46002.440972222219</v>
      </c>
      <c r="AG186" s="5">
        <v>46002.440972222219</v>
      </c>
      <c r="AH186" s="5">
        <v>46007.244444444441</v>
      </c>
      <c r="AI186">
        <v>1</v>
      </c>
    </row>
    <row r="187" spans="1:35" x14ac:dyDescent="0.2">
      <c r="A187" t="s">
        <v>813</v>
      </c>
      <c r="B187" t="s">
        <v>604</v>
      </c>
      <c r="C187" t="s">
        <v>654</v>
      </c>
      <c r="D187">
        <v>342125</v>
      </c>
      <c r="E187" t="s">
        <v>606</v>
      </c>
      <c r="F187">
        <v>14796</v>
      </c>
      <c r="G187">
        <v>70690</v>
      </c>
      <c r="J187">
        <v>148839</v>
      </c>
      <c r="K187">
        <v>0</v>
      </c>
      <c r="L187">
        <v>1</v>
      </c>
      <c r="M187">
        <v>1</v>
      </c>
      <c r="N187">
        <v>648959</v>
      </c>
      <c r="O187" t="s">
        <v>607</v>
      </c>
      <c r="P187">
        <v>339211</v>
      </c>
      <c r="Q187" t="s">
        <v>804</v>
      </c>
      <c r="R187">
        <v>1</v>
      </c>
      <c r="S187" t="s">
        <v>609</v>
      </c>
      <c r="T187">
        <v>0</v>
      </c>
      <c r="U187" t="s">
        <v>610</v>
      </c>
      <c r="V187">
        <v>1326232</v>
      </c>
      <c r="X187">
        <v>1326232</v>
      </c>
      <c r="Y187">
        <v>1</v>
      </c>
      <c r="Z187" s="5">
        <v>46007.243750000001</v>
      </c>
      <c r="AA187" s="5">
        <v>46007.244444444441</v>
      </c>
      <c r="AB187">
        <v>60</v>
      </c>
      <c r="AC187">
        <v>4</v>
      </c>
      <c r="AD187">
        <v>557612</v>
      </c>
      <c r="AE187">
        <v>0</v>
      </c>
      <c r="AF187" s="5">
        <v>46002.440972222219</v>
      </c>
      <c r="AG187" s="5">
        <v>46002.440972222219</v>
      </c>
      <c r="AH187" s="5">
        <v>46007.244444444441</v>
      </c>
      <c r="AI187">
        <v>1</v>
      </c>
    </row>
    <row r="188" spans="1:35" x14ac:dyDescent="0.2">
      <c r="A188" t="s">
        <v>814</v>
      </c>
      <c r="B188" t="s">
        <v>604</v>
      </c>
      <c r="C188" t="s">
        <v>654</v>
      </c>
      <c r="D188">
        <v>342125</v>
      </c>
      <c r="E188" t="s">
        <v>606</v>
      </c>
      <c r="F188">
        <v>14796</v>
      </c>
      <c r="G188">
        <v>70690</v>
      </c>
      <c r="J188">
        <v>148839</v>
      </c>
      <c r="K188">
        <v>0</v>
      </c>
      <c r="L188">
        <v>1</v>
      </c>
      <c r="M188">
        <v>1</v>
      </c>
      <c r="N188">
        <v>647404</v>
      </c>
      <c r="O188" t="s">
        <v>607</v>
      </c>
      <c r="P188">
        <v>339211</v>
      </c>
      <c r="Q188" t="s">
        <v>804</v>
      </c>
      <c r="R188">
        <v>1</v>
      </c>
      <c r="S188" t="s">
        <v>609</v>
      </c>
      <c r="T188">
        <v>0</v>
      </c>
      <c r="U188" t="s">
        <v>610</v>
      </c>
      <c r="V188">
        <v>1326234</v>
      </c>
      <c r="X188">
        <v>1326232</v>
      </c>
      <c r="Y188">
        <v>0</v>
      </c>
      <c r="Z188" s="5">
        <v>46007.243750000001</v>
      </c>
      <c r="AA188" s="5">
        <v>46007.244444444441</v>
      </c>
      <c r="AB188">
        <v>60</v>
      </c>
      <c r="AC188">
        <v>1</v>
      </c>
      <c r="AD188">
        <v>557612</v>
      </c>
      <c r="AE188">
        <v>0</v>
      </c>
      <c r="AF188" s="5">
        <v>46002.440972222219</v>
      </c>
      <c r="AG188" s="5">
        <v>46002.440972222219</v>
      </c>
      <c r="AH188" s="5">
        <v>46007.244444444441</v>
      </c>
      <c r="AI188">
        <v>1</v>
      </c>
    </row>
    <row r="189" spans="1:35" x14ac:dyDescent="0.2">
      <c r="A189" t="s">
        <v>815</v>
      </c>
      <c r="B189" t="s">
        <v>604</v>
      </c>
      <c r="C189" t="s">
        <v>654</v>
      </c>
      <c r="D189">
        <v>342125</v>
      </c>
      <c r="E189" t="s">
        <v>606</v>
      </c>
      <c r="F189">
        <v>14796</v>
      </c>
      <c r="G189">
        <v>70690</v>
      </c>
      <c r="J189">
        <v>148839</v>
      </c>
      <c r="K189">
        <v>0</v>
      </c>
      <c r="L189">
        <v>1</v>
      </c>
      <c r="M189">
        <v>1</v>
      </c>
      <c r="N189">
        <v>647499</v>
      </c>
      <c r="O189" t="s">
        <v>607</v>
      </c>
      <c r="P189">
        <v>339211</v>
      </c>
      <c r="Q189" t="s">
        <v>804</v>
      </c>
      <c r="R189">
        <v>1</v>
      </c>
      <c r="S189" t="s">
        <v>609</v>
      </c>
      <c r="T189">
        <v>0</v>
      </c>
      <c r="U189" t="s">
        <v>610</v>
      </c>
      <c r="V189">
        <v>1326235</v>
      </c>
      <c r="X189">
        <v>1326232</v>
      </c>
      <c r="Y189">
        <v>0</v>
      </c>
      <c r="Z189" s="5">
        <v>46007.243750000001</v>
      </c>
      <c r="AA189" s="5">
        <v>46007.244444444441</v>
      </c>
      <c r="AB189">
        <v>60</v>
      </c>
      <c r="AC189">
        <v>1</v>
      </c>
      <c r="AD189">
        <v>557612</v>
      </c>
      <c r="AE189">
        <v>0</v>
      </c>
      <c r="AF189" s="5">
        <v>46002.440972222219</v>
      </c>
      <c r="AG189" s="5">
        <v>46002.440972222219</v>
      </c>
      <c r="AH189" s="5">
        <v>46007.244444444441</v>
      </c>
      <c r="AI189">
        <v>1</v>
      </c>
    </row>
    <row r="190" spans="1:35" x14ac:dyDescent="0.2">
      <c r="A190" t="s">
        <v>816</v>
      </c>
      <c r="B190" t="s">
        <v>604</v>
      </c>
      <c r="C190" t="s">
        <v>654</v>
      </c>
      <c r="D190">
        <v>342125</v>
      </c>
      <c r="E190" t="s">
        <v>606</v>
      </c>
      <c r="F190">
        <v>14796</v>
      </c>
      <c r="G190">
        <v>70690</v>
      </c>
      <c r="J190">
        <v>148839</v>
      </c>
      <c r="K190">
        <v>0</v>
      </c>
      <c r="L190">
        <v>0</v>
      </c>
      <c r="M190">
        <v>0</v>
      </c>
      <c r="N190">
        <v>647295</v>
      </c>
      <c r="O190" t="s">
        <v>607</v>
      </c>
      <c r="P190">
        <v>339211</v>
      </c>
      <c r="Q190" t="s">
        <v>804</v>
      </c>
      <c r="R190">
        <v>1</v>
      </c>
      <c r="S190" t="s">
        <v>609</v>
      </c>
      <c r="T190">
        <v>0</v>
      </c>
      <c r="U190" t="s">
        <v>610</v>
      </c>
      <c r="V190">
        <v>-1</v>
      </c>
      <c r="X190">
        <v>1326232</v>
      </c>
      <c r="Z190" s="5">
        <v>46007.243750000001</v>
      </c>
      <c r="AA190" s="5">
        <v>46007.243750000001</v>
      </c>
      <c r="AC190">
        <v>0</v>
      </c>
      <c r="AD190">
        <v>557612</v>
      </c>
      <c r="AE190">
        <v>0</v>
      </c>
      <c r="AF190" s="5">
        <v>46002.440972222219</v>
      </c>
      <c r="AG190" s="5">
        <v>46002.440972222219</v>
      </c>
      <c r="AI190">
        <v>1</v>
      </c>
    </row>
    <row r="191" spans="1:35" x14ac:dyDescent="0.2">
      <c r="A191" t="s">
        <v>817</v>
      </c>
      <c r="B191" t="s">
        <v>604</v>
      </c>
      <c r="C191" t="s">
        <v>654</v>
      </c>
      <c r="D191">
        <v>342125</v>
      </c>
      <c r="E191" t="s">
        <v>606</v>
      </c>
      <c r="F191">
        <v>14796</v>
      </c>
      <c r="G191">
        <v>70690</v>
      </c>
      <c r="J191">
        <v>148839</v>
      </c>
      <c r="K191">
        <v>0</v>
      </c>
      <c r="L191">
        <v>1</v>
      </c>
      <c r="M191">
        <v>1</v>
      </c>
      <c r="N191">
        <v>648986</v>
      </c>
      <c r="O191" t="s">
        <v>607</v>
      </c>
      <c r="P191">
        <v>339211</v>
      </c>
      <c r="Q191" t="s">
        <v>804</v>
      </c>
      <c r="R191">
        <v>1</v>
      </c>
      <c r="S191" t="s">
        <v>609</v>
      </c>
      <c r="T191">
        <v>0</v>
      </c>
      <c r="U191" t="s">
        <v>610</v>
      </c>
      <c r="V191">
        <v>1326232</v>
      </c>
      <c r="X191">
        <v>1326232</v>
      </c>
      <c r="Y191">
        <v>1</v>
      </c>
      <c r="Z191" s="5">
        <v>46007.243750000001</v>
      </c>
      <c r="AA191" s="5">
        <v>46007.244444444441</v>
      </c>
      <c r="AB191">
        <v>60</v>
      </c>
      <c r="AC191">
        <v>4</v>
      </c>
      <c r="AD191">
        <v>557612</v>
      </c>
      <c r="AE191">
        <v>0</v>
      </c>
      <c r="AF191" s="5">
        <v>46002.440972222219</v>
      </c>
      <c r="AG191" s="5">
        <v>46002.440972222219</v>
      </c>
      <c r="AH191" s="5">
        <v>46007.244444444441</v>
      </c>
      <c r="AI191">
        <v>1</v>
      </c>
    </row>
    <row r="192" spans="1:35" x14ac:dyDescent="0.2">
      <c r="A192" t="s">
        <v>818</v>
      </c>
      <c r="B192" t="s">
        <v>604</v>
      </c>
      <c r="C192" t="s">
        <v>654</v>
      </c>
      <c r="D192">
        <v>342125</v>
      </c>
      <c r="E192" t="s">
        <v>606</v>
      </c>
      <c r="F192">
        <v>14796</v>
      </c>
      <c r="G192">
        <v>70690</v>
      </c>
      <c r="J192">
        <v>148839</v>
      </c>
      <c r="K192">
        <v>0</v>
      </c>
      <c r="L192">
        <v>0</v>
      </c>
      <c r="M192">
        <v>0</v>
      </c>
      <c r="N192">
        <v>652929</v>
      </c>
      <c r="O192" t="s">
        <v>607</v>
      </c>
      <c r="P192">
        <v>339211</v>
      </c>
      <c r="Q192" t="s">
        <v>804</v>
      </c>
      <c r="R192">
        <v>1</v>
      </c>
      <c r="S192" t="s">
        <v>609</v>
      </c>
      <c r="T192">
        <v>0</v>
      </c>
      <c r="U192" t="s">
        <v>610</v>
      </c>
      <c r="V192">
        <v>-1</v>
      </c>
      <c r="X192">
        <v>1326232</v>
      </c>
      <c r="Z192" s="5">
        <v>46007.243750000001</v>
      </c>
      <c r="AA192" s="5">
        <v>46007.243750000001</v>
      </c>
      <c r="AC192">
        <v>0</v>
      </c>
      <c r="AD192">
        <v>557612</v>
      </c>
      <c r="AE192">
        <v>0</v>
      </c>
      <c r="AF192" s="5">
        <v>46002.440972222219</v>
      </c>
      <c r="AG192" s="5">
        <v>46002.440972222219</v>
      </c>
      <c r="AI192">
        <v>1</v>
      </c>
    </row>
    <row r="193" spans="1:35" x14ac:dyDescent="0.2">
      <c r="A193" t="s">
        <v>819</v>
      </c>
      <c r="B193" t="s">
        <v>604</v>
      </c>
      <c r="C193" t="s">
        <v>654</v>
      </c>
      <c r="D193">
        <v>342125</v>
      </c>
      <c r="E193" t="s">
        <v>606</v>
      </c>
      <c r="F193">
        <v>14796</v>
      </c>
      <c r="G193">
        <v>70690</v>
      </c>
      <c r="J193">
        <v>148839</v>
      </c>
      <c r="K193">
        <v>0</v>
      </c>
      <c r="L193">
        <v>1</v>
      </c>
      <c r="M193">
        <v>1</v>
      </c>
      <c r="N193">
        <v>657525</v>
      </c>
      <c r="O193" t="s">
        <v>607</v>
      </c>
      <c r="P193">
        <v>339211</v>
      </c>
      <c r="Q193" t="s">
        <v>804</v>
      </c>
      <c r="R193">
        <v>1</v>
      </c>
      <c r="S193" t="s">
        <v>609</v>
      </c>
      <c r="T193">
        <v>0</v>
      </c>
      <c r="U193" t="s">
        <v>610</v>
      </c>
      <c r="V193">
        <v>1326233</v>
      </c>
      <c r="X193">
        <v>1326232</v>
      </c>
      <c r="Y193">
        <v>0</v>
      </c>
      <c r="Z193" s="5">
        <v>46007.243750000001</v>
      </c>
      <c r="AA193" s="5">
        <v>46007.244444444441</v>
      </c>
      <c r="AB193">
        <v>60</v>
      </c>
      <c r="AC193">
        <v>3</v>
      </c>
      <c r="AD193">
        <v>557612</v>
      </c>
      <c r="AE193">
        <v>0</v>
      </c>
      <c r="AF193" s="5">
        <v>46002.440972222219</v>
      </c>
      <c r="AG193" s="5">
        <v>46002.440972222219</v>
      </c>
      <c r="AH193" s="5">
        <v>46007.244444444441</v>
      </c>
      <c r="AI193">
        <v>1</v>
      </c>
    </row>
    <row r="194" spans="1:35" x14ac:dyDescent="0.2">
      <c r="A194" t="s">
        <v>820</v>
      </c>
      <c r="B194" t="s">
        <v>604</v>
      </c>
      <c r="C194" t="s">
        <v>654</v>
      </c>
      <c r="D194">
        <v>342125</v>
      </c>
      <c r="E194" t="s">
        <v>606</v>
      </c>
      <c r="F194">
        <v>14796</v>
      </c>
      <c r="G194">
        <v>70690</v>
      </c>
      <c r="J194">
        <v>148839</v>
      </c>
      <c r="K194">
        <v>0</v>
      </c>
      <c r="L194">
        <v>1</v>
      </c>
      <c r="M194">
        <v>1</v>
      </c>
      <c r="N194">
        <v>651452</v>
      </c>
      <c r="O194" t="s">
        <v>607</v>
      </c>
      <c r="P194">
        <v>339211</v>
      </c>
      <c r="Q194" t="s">
        <v>804</v>
      </c>
      <c r="R194">
        <v>1</v>
      </c>
      <c r="S194" t="s">
        <v>609</v>
      </c>
      <c r="T194">
        <v>0</v>
      </c>
      <c r="U194" t="s">
        <v>610</v>
      </c>
      <c r="V194">
        <v>1326232</v>
      </c>
      <c r="X194">
        <v>1326232</v>
      </c>
      <c r="Y194">
        <v>1</v>
      </c>
      <c r="Z194" s="5">
        <v>46007.243750000001</v>
      </c>
      <c r="AA194" s="5">
        <v>46007.244444444441</v>
      </c>
      <c r="AB194">
        <v>60</v>
      </c>
      <c r="AC194">
        <v>3</v>
      </c>
      <c r="AD194">
        <v>557612</v>
      </c>
      <c r="AE194">
        <v>0</v>
      </c>
      <c r="AF194" s="5">
        <v>46002.440972222219</v>
      </c>
      <c r="AG194" s="5">
        <v>46002.440972222219</v>
      </c>
      <c r="AH194" s="5">
        <v>46007.244444444441</v>
      </c>
      <c r="AI194">
        <v>1</v>
      </c>
    </row>
    <row r="195" spans="1:35" x14ac:dyDescent="0.2">
      <c r="A195" t="s">
        <v>821</v>
      </c>
      <c r="B195" t="s">
        <v>604</v>
      </c>
      <c r="C195" t="s">
        <v>654</v>
      </c>
      <c r="D195">
        <v>342125</v>
      </c>
      <c r="E195" t="s">
        <v>606</v>
      </c>
      <c r="F195">
        <v>14796</v>
      </c>
      <c r="G195">
        <v>70690</v>
      </c>
      <c r="J195">
        <v>148839</v>
      </c>
      <c r="K195">
        <v>0</v>
      </c>
      <c r="L195">
        <v>0</v>
      </c>
      <c r="M195">
        <v>0</v>
      </c>
      <c r="N195">
        <v>647504</v>
      </c>
      <c r="O195" t="s">
        <v>607</v>
      </c>
      <c r="P195">
        <v>339211</v>
      </c>
      <c r="Q195" t="s">
        <v>804</v>
      </c>
      <c r="R195">
        <v>1</v>
      </c>
      <c r="S195" t="s">
        <v>609</v>
      </c>
      <c r="T195">
        <v>0</v>
      </c>
      <c r="U195" t="s">
        <v>610</v>
      </c>
      <c r="V195">
        <v>-1</v>
      </c>
      <c r="X195">
        <v>1326232</v>
      </c>
      <c r="Z195" s="5">
        <v>46007.243750000001</v>
      </c>
      <c r="AA195" s="5">
        <v>46007.243750000001</v>
      </c>
      <c r="AC195">
        <v>0</v>
      </c>
      <c r="AD195">
        <v>557612</v>
      </c>
      <c r="AE195">
        <v>0</v>
      </c>
      <c r="AF195" s="5">
        <v>46002.440972222219</v>
      </c>
      <c r="AG195" s="5">
        <v>46002.440972222219</v>
      </c>
      <c r="AI195">
        <v>1</v>
      </c>
    </row>
    <row r="196" spans="1:35" x14ac:dyDescent="0.2">
      <c r="A196" t="s">
        <v>822</v>
      </c>
      <c r="B196" t="s">
        <v>604</v>
      </c>
      <c r="C196" t="s">
        <v>654</v>
      </c>
      <c r="D196">
        <v>342125</v>
      </c>
      <c r="E196" t="s">
        <v>606</v>
      </c>
      <c r="F196">
        <v>14796</v>
      </c>
      <c r="G196">
        <v>70690</v>
      </c>
      <c r="J196">
        <v>148839</v>
      </c>
      <c r="K196">
        <v>0</v>
      </c>
      <c r="L196">
        <v>1</v>
      </c>
      <c r="M196">
        <v>1</v>
      </c>
      <c r="N196">
        <v>652934</v>
      </c>
      <c r="O196" t="s">
        <v>607</v>
      </c>
      <c r="P196">
        <v>339211</v>
      </c>
      <c r="Q196" t="s">
        <v>804</v>
      </c>
      <c r="R196">
        <v>1</v>
      </c>
      <c r="S196" t="s">
        <v>609</v>
      </c>
      <c r="T196">
        <v>0</v>
      </c>
      <c r="U196" t="s">
        <v>610</v>
      </c>
      <c r="V196">
        <v>1326235</v>
      </c>
      <c r="X196">
        <v>1326232</v>
      </c>
      <c r="Y196">
        <v>0</v>
      </c>
      <c r="Z196" s="5">
        <v>46007.243750000001</v>
      </c>
      <c r="AA196" s="5">
        <v>46007.244444444441</v>
      </c>
      <c r="AB196">
        <v>60</v>
      </c>
      <c r="AC196">
        <v>2</v>
      </c>
      <c r="AD196">
        <v>557612</v>
      </c>
      <c r="AE196">
        <v>0</v>
      </c>
      <c r="AF196" s="5">
        <v>46002.440972222219</v>
      </c>
      <c r="AG196" s="5">
        <v>46002.440972222219</v>
      </c>
      <c r="AH196" s="5">
        <v>46007.244444444441</v>
      </c>
      <c r="AI196">
        <v>1</v>
      </c>
    </row>
    <row r="197" spans="1:35" x14ac:dyDescent="0.2">
      <c r="A197" t="s">
        <v>823</v>
      </c>
      <c r="B197" t="s">
        <v>604</v>
      </c>
      <c r="C197" t="s">
        <v>634</v>
      </c>
      <c r="D197">
        <v>342121</v>
      </c>
      <c r="E197" t="s">
        <v>606</v>
      </c>
      <c r="F197">
        <v>14796</v>
      </c>
      <c r="G197">
        <v>70690</v>
      </c>
      <c r="J197">
        <v>148837</v>
      </c>
      <c r="K197">
        <v>0</v>
      </c>
      <c r="L197">
        <v>1</v>
      </c>
      <c r="M197">
        <v>1</v>
      </c>
      <c r="N197">
        <v>652933</v>
      </c>
      <c r="O197" t="s">
        <v>607</v>
      </c>
      <c r="P197">
        <v>334118</v>
      </c>
      <c r="Q197" t="s">
        <v>824</v>
      </c>
      <c r="R197">
        <v>1</v>
      </c>
      <c r="S197" t="s">
        <v>609</v>
      </c>
      <c r="T197">
        <v>1</v>
      </c>
      <c r="U197" t="s">
        <v>610</v>
      </c>
      <c r="V197">
        <v>1307479</v>
      </c>
      <c r="X197">
        <v>1307481</v>
      </c>
      <c r="Y197">
        <v>0</v>
      </c>
      <c r="Z197" s="5">
        <v>46007.255555555559</v>
      </c>
      <c r="AA197" s="5">
        <v>46007.255555555559</v>
      </c>
      <c r="AB197">
        <v>3</v>
      </c>
      <c r="AC197">
        <v>2</v>
      </c>
      <c r="AD197">
        <v>557612</v>
      </c>
      <c r="AE197">
        <v>0</v>
      </c>
      <c r="AF197" s="5">
        <v>46002.440972222219</v>
      </c>
      <c r="AG197" s="5">
        <v>46002.440972222219</v>
      </c>
      <c r="AH197" s="5">
        <v>46007.255555555559</v>
      </c>
      <c r="AI197">
        <v>1</v>
      </c>
    </row>
    <row r="198" spans="1:35" x14ac:dyDescent="0.2">
      <c r="A198" t="s">
        <v>825</v>
      </c>
      <c r="B198" t="s">
        <v>604</v>
      </c>
      <c r="C198" t="s">
        <v>634</v>
      </c>
      <c r="D198">
        <v>342121</v>
      </c>
      <c r="E198" t="s">
        <v>606</v>
      </c>
      <c r="F198">
        <v>14796</v>
      </c>
      <c r="G198">
        <v>70690</v>
      </c>
      <c r="J198">
        <v>148837</v>
      </c>
      <c r="K198">
        <v>0</v>
      </c>
      <c r="L198">
        <v>1</v>
      </c>
      <c r="M198">
        <v>1</v>
      </c>
      <c r="N198">
        <v>647306</v>
      </c>
      <c r="O198" t="s">
        <v>607</v>
      </c>
      <c r="P198">
        <v>334118</v>
      </c>
      <c r="Q198" t="s">
        <v>824</v>
      </c>
      <c r="R198">
        <v>1</v>
      </c>
      <c r="S198" t="s">
        <v>609</v>
      </c>
      <c r="T198">
        <v>1</v>
      </c>
      <c r="U198" t="s">
        <v>610</v>
      </c>
      <c r="V198">
        <v>1307481</v>
      </c>
      <c r="X198">
        <v>1307481</v>
      </c>
      <c r="Y198">
        <v>1</v>
      </c>
      <c r="Z198" s="5">
        <v>46007.254166666666</v>
      </c>
      <c r="AA198" s="5">
        <v>46007.254861111112</v>
      </c>
      <c r="AB198">
        <v>80</v>
      </c>
      <c r="AC198">
        <v>1</v>
      </c>
      <c r="AD198">
        <v>557612</v>
      </c>
      <c r="AE198">
        <v>0</v>
      </c>
      <c r="AF198" s="5">
        <v>46002.440972222219</v>
      </c>
      <c r="AG198" s="5">
        <v>46002.440972222219</v>
      </c>
      <c r="AH198" s="5">
        <v>46007.254861111112</v>
      </c>
      <c r="AI198">
        <v>1</v>
      </c>
    </row>
    <row r="199" spans="1:35" x14ac:dyDescent="0.2">
      <c r="A199" t="s">
        <v>826</v>
      </c>
      <c r="B199" t="s">
        <v>604</v>
      </c>
      <c r="C199" t="s">
        <v>634</v>
      </c>
      <c r="D199">
        <v>342121</v>
      </c>
      <c r="E199" t="s">
        <v>606</v>
      </c>
      <c r="F199">
        <v>14796</v>
      </c>
      <c r="G199">
        <v>70690</v>
      </c>
      <c r="J199">
        <v>148837</v>
      </c>
      <c r="K199">
        <v>0</v>
      </c>
      <c r="L199">
        <v>1</v>
      </c>
      <c r="M199">
        <v>1</v>
      </c>
      <c r="N199">
        <v>647404</v>
      </c>
      <c r="O199" t="s">
        <v>607</v>
      </c>
      <c r="P199">
        <v>334118</v>
      </c>
      <c r="Q199" t="s">
        <v>824</v>
      </c>
      <c r="R199">
        <v>1</v>
      </c>
      <c r="S199" t="s">
        <v>609</v>
      </c>
      <c r="T199">
        <v>1</v>
      </c>
      <c r="U199" t="s">
        <v>610</v>
      </c>
      <c r="V199">
        <v>1307481</v>
      </c>
      <c r="X199">
        <v>1307481</v>
      </c>
      <c r="Y199">
        <v>1</v>
      </c>
      <c r="Z199" s="5">
        <v>46007.253472222219</v>
      </c>
      <c r="AA199" s="5">
        <v>46007.254166666666</v>
      </c>
      <c r="AB199">
        <v>24</v>
      </c>
      <c r="AC199">
        <v>1</v>
      </c>
      <c r="AD199">
        <v>557612</v>
      </c>
      <c r="AE199">
        <v>0</v>
      </c>
      <c r="AF199" s="5">
        <v>46002.440972222219</v>
      </c>
      <c r="AG199" s="5">
        <v>46002.440972222219</v>
      </c>
      <c r="AH199" s="5">
        <v>46007.254166666666</v>
      </c>
      <c r="AI199">
        <v>1</v>
      </c>
    </row>
    <row r="200" spans="1:35" x14ac:dyDescent="0.2">
      <c r="A200" t="s">
        <v>827</v>
      </c>
      <c r="B200" t="s">
        <v>604</v>
      </c>
      <c r="C200" t="s">
        <v>634</v>
      </c>
      <c r="D200">
        <v>342121</v>
      </c>
      <c r="E200" t="s">
        <v>606</v>
      </c>
      <c r="F200">
        <v>14796</v>
      </c>
      <c r="G200">
        <v>70690</v>
      </c>
      <c r="J200">
        <v>148837</v>
      </c>
      <c r="K200">
        <v>0</v>
      </c>
      <c r="L200">
        <v>1</v>
      </c>
      <c r="M200">
        <v>1</v>
      </c>
      <c r="N200">
        <v>652934</v>
      </c>
      <c r="O200" t="s">
        <v>607</v>
      </c>
      <c r="P200">
        <v>334118</v>
      </c>
      <c r="Q200" t="s">
        <v>824</v>
      </c>
      <c r="R200">
        <v>1</v>
      </c>
      <c r="S200" t="s">
        <v>609</v>
      </c>
      <c r="T200">
        <v>1</v>
      </c>
      <c r="U200" t="s">
        <v>610</v>
      </c>
      <c r="V200">
        <v>1307478</v>
      </c>
      <c r="X200">
        <v>1307481</v>
      </c>
      <c r="Y200">
        <v>0</v>
      </c>
      <c r="Z200" s="5">
        <v>46007.25277777778</v>
      </c>
      <c r="AA200" s="5">
        <v>46007.25277777778</v>
      </c>
      <c r="AB200">
        <v>8</v>
      </c>
      <c r="AC200">
        <v>1</v>
      </c>
      <c r="AD200">
        <v>557612</v>
      </c>
      <c r="AE200">
        <v>0</v>
      </c>
      <c r="AF200" s="5">
        <v>46002.440972222219</v>
      </c>
      <c r="AG200" s="5">
        <v>46002.440972222219</v>
      </c>
      <c r="AH200" s="5">
        <v>46007.25277777778</v>
      </c>
      <c r="AI200">
        <v>1</v>
      </c>
    </row>
    <row r="201" spans="1:35" x14ac:dyDescent="0.2">
      <c r="A201" t="s">
        <v>828</v>
      </c>
      <c r="B201" t="s">
        <v>604</v>
      </c>
      <c r="C201" t="s">
        <v>634</v>
      </c>
      <c r="D201">
        <v>342121</v>
      </c>
      <c r="E201" t="s">
        <v>606</v>
      </c>
      <c r="F201">
        <v>14796</v>
      </c>
      <c r="G201">
        <v>70690</v>
      </c>
      <c r="J201">
        <v>148837</v>
      </c>
      <c r="K201">
        <v>0</v>
      </c>
      <c r="L201">
        <v>1</v>
      </c>
      <c r="M201">
        <v>1</v>
      </c>
      <c r="N201">
        <v>647496</v>
      </c>
      <c r="O201" t="s">
        <v>607</v>
      </c>
      <c r="P201">
        <v>334118</v>
      </c>
      <c r="Q201" t="s">
        <v>824</v>
      </c>
      <c r="R201">
        <v>1</v>
      </c>
      <c r="S201" t="s">
        <v>609</v>
      </c>
      <c r="T201">
        <v>1</v>
      </c>
      <c r="U201" t="s">
        <v>610</v>
      </c>
      <c r="V201">
        <v>1307478</v>
      </c>
      <c r="X201">
        <v>1307481</v>
      </c>
      <c r="Y201">
        <v>0</v>
      </c>
      <c r="Z201" s="5">
        <v>46007.253472222219</v>
      </c>
      <c r="AA201" s="5">
        <v>46007.254166666666</v>
      </c>
      <c r="AB201">
        <v>80</v>
      </c>
      <c r="AC201">
        <v>1</v>
      </c>
      <c r="AD201">
        <v>557612</v>
      </c>
      <c r="AE201">
        <v>0</v>
      </c>
      <c r="AF201" s="5">
        <v>46002.440972222219</v>
      </c>
      <c r="AG201" s="5">
        <v>46002.440972222219</v>
      </c>
      <c r="AH201" s="5">
        <v>46007.254166666666</v>
      </c>
      <c r="AI201">
        <v>1</v>
      </c>
    </row>
    <row r="202" spans="1:35" x14ac:dyDescent="0.2">
      <c r="A202" t="s">
        <v>829</v>
      </c>
      <c r="B202" t="s">
        <v>604</v>
      </c>
      <c r="C202" t="s">
        <v>634</v>
      </c>
      <c r="D202">
        <v>342121</v>
      </c>
      <c r="E202" t="s">
        <v>606</v>
      </c>
      <c r="F202">
        <v>14796</v>
      </c>
      <c r="G202">
        <v>70690</v>
      </c>
      <c r="J202">
        <v>148837</v>
      </c>
      <c r="K202">
        <v>0</v>
      </c>
      <c r="L202">
        <v>1</v>
      </c>
      <c r="M202">
        <v>1</v>
      </c>
      <c r="N202">
        <v>652958</v>
      </c>
      <c r="O202" t="s">
        <v>607</v>
      </c>
      <c r="P202">
        <v>334118</v>
      </c>
      <c r="Q202" t="s">
        <v>824</v>
      </c>
      <c r="R202">
        <v>1</v>
      </c>
      <c r="S202" t="s">
        <v>609</v>
      </c>
      <c r="T202">
        <v>1</v>
      </c>
      <c r="U202" t="s">
        <v>610</v>
      </c>
      <c r="V202">
        <v>1307480</v>
      </c>
      <c r="X202">
        <v>1307481</v>
      </c>
      <c r="Y202">
        <v>0</v>
      </c>
      <c r="Z202" s="5">
        <v>46007.253472222219</v>
      </c>
      <c r="AA202" s="5">
        <v>46007.253472222219</v>
      </c>
      <c r="AB202">
        <v>3</v>
      </c>
      <c r="AC202">
        <v>1</v>
      </c>
      <c r="AD202">
        <v>557612</v>
      </c>
      <c r="AE202">
        <v>0</v>
      </c>
      <c r="AF202" s="5">
        <v>46002.440972222219</v>
      </c>
      <c r="AG202" s="5">
        <v>46002.440972222219</v>
      </c>
      <c r="AH202" s="5">
        <v>46007.253472222219</v>
      </c>
      <c r="AI202">
        <v>1</v>
      </c>
    </row>
    <row r="203" spans="1:35" x14ac:dyDescent="0.2">
      <c r="A203" t="s">
        <v>830</v>
      </c>
      <c r="B203" t="s">
        <v>604</v>
      </c>
      <c r="C203" t="s">
        <v>634</v>
      </c>
      <c r="D203">
        <v>342121</v>
      </c>
      <c r="E203" t="s">
        <v>606</v>
      </c>
      <c r="F203">
        <v>14796</v>
      </c>
      <c r="G203">
        <v>70690</v>
      </c>
      <c r="J203">
        <v>148837</v>
      </c>
      <c r="K203">
        <v>0</v>
      </c>
      <c r="L203">
        <v>0</v>
      </c>
      <c r="M203">
        <v>0</v>
      </c>
      <c r="N203">
        <v>647748</v>
      </c>
      <c r="O203" t="s">
        <v>607</v>
      </c>
      <c r="P203">
        <v>334118</v>
      </c>
      <c r="Q203" t="s">
        <v>824</v>
      </c>
      <c r="R203">
        <v>1</v>
      </c>
      <c r="S203" t="s">
        <v>609</v>
      </c>
      <c r="T203">
        <v>1</v>
      </c>
      <c r="U203" t="s">
        <v>610</v>
      </c>
      <c r="V203">
        <v>-1</v>
      </c>
      <c r="X203">
        <v>1307481</v>
      </c>
      <c r="Z203" s="5">
        <v>46007.253472222219</v>
      </c>
      <c r="AA203" s="5">
        <v>46007.253472222219</v>
      </c>
      <c r="AC203">
        <v>0</v>
      </c>
      <c r="AD203">
        <v>557612</v>
      </c>
      <c r="AE203">
        <v>0</v>
      </c>
      <c r="AF203" s="5">
        <v>46002.440972222219</v>
      </c>
      <c r="AG203" s="5">
        <v>46002.440972222219</v>
      </c>
      <c r="AI203">
        <v>1</v>
      </c>
    </row>
    <row r="204" spans="1:35" x14ac:dyDescent="0.2">
      <c r="A204" t="s">
        <v>831</v>
      </c>
      <c r="B204" t="s">
        <v>604</v>
      </c>
      <c r="C204" t="s">
        <v>634</v>
      </c>
      <c r="D204">
        <v>342121</v>
      </c>
      <c r="E204" t="s">
        <v>606</v>
      </c>
      <c r="F204">
        <v>14796</v>
      </c>
      <c r="G204">
        <v>70690</v>
      </c>
      <c r="J204">
        <v>148837</v>
      </c>
      <c r="K204">
        <v>0</v>
      </c>
      <c r="L204">
        <v>1</v>
      </c>
      <c r="M204">
        <v>1</v>
      </c>
      <c r="N204">
        <v>648959</v>
      </c>
      <c r="O204" t="s">
        <v>607</v>
      </c>
      <c r="P204">
        <v>334118</v>
      </c>
      <c r="Q204" t="s">
        <v>824</v>
      </c>
      <c r="R204">
        <v>1</v>
      </c>
      <c r="S204" t="s">
        <v>609</v>
      </c>
      <c r="T204">
        <v>1</v>
      </c>
      <c r="U204" t="s">
        <v>610</v>
      </c>
      <c r="V204">
        <v>1307478</v>
      </c>
      <c r="X204">
        <v>1307481</v>
      </c>
      <c r="Y204">
        <v>0</v>
      </c>
      <c r="Z204" s="5">
        <v>46007.25277777778</v>
      </c>
      <c r="AA204" s="5">
        <v>46007.25277777778</v>
      </c>
      <c r="AB204">
        <v>13</v>
      </c>
      <c r="AC204">
        <v>4</v>
      </c>
      <c r="AD204">
        <v>557612</v>
      </c>
      <c r="AE204">
        <v>0</v>
      </c>
      <c r="AF204" s="5">
        <v>46002.440972222219</v>
      </c>
      <c r="AG204" s="5">
        <v>46002.440972222219</v>
      </c>
      <c r="AH204" s="5">
        <v>46007.25277777778</v>
      </c>
      <c r="AI204">
        <v>1</v>
      </c>
    </row>
    <row r="205" spans="1:35" x14ac:dyDescent="0.2">
      <c r="A205" t="s">
        <v>832</v>
      </c>
      <c r="B205" t="s">
        <v>604</v>
      </c>
      <c r="C205" t="s">
        <v>634</v>
      </c>
      <c r="D205">
        <v>342121</v>
      </c>
      <c r="E205" t="s">
        <v>606</v>
      </c>
      <c r="F205">
        <v>14796</v>
      </c>
      <c r="G205">
        <v>70690</v>
      </c>
      <c r="J205">
        <v>148837</v>
      </c>
      <c r="K205">
        <v>0</v>
      </c>
      <c r="L205">
        <v>1</v>
      </c>
      <c r="M205">
        <v>1</v>
      </c>
      <c r="N205">
        <v>651452</v>
      </c>
      <c r="O205" t="s">
        <v>607</v>
      </c>
      <c r="P205">
        <v>334118</v>
      </c>
      <c r="Q205" t="s">
        <v>824</v>
      </c>
      <c r="R205">
        <v>1</v>
      </c>
      <c r="S205" t="s">
        <v>609</v>
      </c>
      <c r="T205">
        <v>1</v>
      </c>
      <c r="U205" t="s">
        <v>610</v>
      </c>
      <c r="V205">
        <v>1307481</v>
      </c>
      <c r="X205">
        <v>1307481</v>
      </c>
      <c r="Y205">
        <v>1</v>
      </c>
      <c r="Z205" s="5">
        <v>46007.253472222219</v>
      </c>
      <c r="AA205" s="5">
        <v>46007.253472222219</v>
      </c>
      <c r="AB205">
        <v>30</v>
      </c>
      <c r="AC205">
        <v>1</v>
      </c>
      <c r="AD205">
        <v>557612</v>
      </c>
      <c r="AE205">
        <v>0</v>
      </c>
      <c r="AF205" s="5">
        <v>46002.440972222219</v>
      </c>
      <c r="AG205" s="5">
        <v>46002.440972222219</v>
      </c>
      <c r="AH205" s="5">
        <v>46007.253472222219</v>
      </c>
      <c r="AI205">
        <v>1</v>
      </c>
    </row>
    <row r="206" spans="1:35" x14ac:dyDescent="0.2">
      <c r="A206" t="s">
        <v>833</v>
      </c>
      <c r="B206" t="s">
        <v>604</v>
      </c>
      <c r="C206" t="s">
        <v>634</v>
      </c>
      <c r="D206">
        <v>342121</v>
      </c>
      <c r="E206" t="s">
        <v>606</v>
      </c>
      <c r="F206">
        <v>14796</v>
      </c>
      <c r="G206">
        <v>70690</v>
      </c>
      <c r="J206">
        <v>148837</v>
      </c>
      <c r="K206">
        <v>0</v>
      </c>
      <c r="L206">
        <v>1</v>
      </c>
      <c r="M206">
        <v>1</v>
      </c>
      <c r="N206">
        <v>647433</v>
      </c>
      <c r="O206" t="s">
        <v>607</v>
      </c>
      <c r="P206">
        <v>334118</v>
      </c>
      <c r="Q206" t="s">
        <v>824</v>
      </c>
      <c r="R206">
        <v>1</v>
      </c>
      <c r="S206" t="s">
        <v>609</v>
      </c>
      <c r="T206">
        <v>1</v>
      </c>
      <c r="U206" t="s">
        <v>610</v>
      </c>
      <c r="V206">
        <v>1307481</v>
      </c>
      <c r="X206">
        <v>1307481</v>
      </c>
      <c r="Y206">
        <v>1</v>
      </c>
      <c r="Z206" s="5">
        <v>46007.254166666666</v>
      </c>
      <c r="AA206" s="5">
        <v>46007.254861111112</v>
      </c>
      <c r="AB206">
        <v>66</v>
      </c>
      <c r="AC206">
        <v>1</v>
      </c>
      <c r="AD206">
        <v>557612</v>
      </c>
      <c r="AE206">
        <v>0</v>
      </c>
      <c r="AF206" s="5">
        <v>46002.440972222219</v>
      </c>
      <c r="AG206" s="5">
        <v>46002.440972222219</v>
      </c>
      <c r="AH206" s="5">
        <v>46007.254861111112</v>
      </c>
      <c r="AI206">
        <v>1</v>
      </c>
    </row>
    <row r="207" spans="1:35" x14ac:dyDescent="0.2">
      <c r="A207" t="s">
        <v>834</v>
      </c>
      <c r="B207" t="s">
        <v>604</v>
      </c>
      <c r="C207" t="s">
        <v>634</v>
      </c>
      <c r="D207">
        <v>342121</v>
      </c>
      <c r="E207" t="s">
        <v>606</v>
      </c>
      <c r="F207">
        <v>14796</v>
      </c>
      <c r="G207">
        <v>70690</v>
      </c>
      <c r="J207">
        <v>148837</v>
      </c>
      <c r="K207">
        <v>0</v>
      </c>
      <c r="L207">
        <v>1</v>
      </c>
      <c r="M207">
        <v>1</v>
      </c>
      <c r="N207">
        <v>647739</v>
      </c>
      <c r="O207" t="s">
        <v>607</v>
      </c>
      <c r="P207">
        <v>334118</v>
      </c>
      <c r="Q207" t="s">
        <v>824</v>
      </c>
      <c r="R207">
        <v>1</v>
      </c>
      <c r="S207" t="s">
        <v>609</v>
      </c>
      <c r="T207">
        <v>1</v>
      </c>
      <c r="U207" t="s">
        <v>610</v>
      </c>
      <c r="V207">
        <v>1307479</v>
      </c>
      <c r="X207">
        <v>1307481</v>
      </c>
      <c r="Y207">
        <v>0</v>
      </c>
      <c r="Z207" s="5">
        <v>46007.255555555559</v>
      </c>
      <c r="AA207" s="5">
        <v>46007.255555555559</v>
      </c>
      <c r="AB207">
        <v>3</v>
      </c>
      <c r="AC207">
        <v>1</v>
      </c>
      <c r="AD207">
        <v>557612</v>
      </c>
      <c r="AE207">
        <v>0</v>
      </c>
      <c r="AF207" s="5">
        <v>46002.440972222219</v>
      </c>
      <c r="AG207" s="5">
        <v>46002.440972222219</v>
      </c>
      <c r="AH207" s="5">
        <v>46007.255555555559</v>
      </c>
      <c r="AI207">
        <v>1</v>
      </c>
    </row>
    <row r="208" spans="1:35" x14ac:dyDescent="0.2">
      <c r="A208" t="s">
        <v>835</v>
      </c>
      <c r="B208" t="s">
        <v>604</v>
      </c>
      <c r="C208" t="s">
        <v>634</v>
      </c>
      <c r="D208">
        <v>342121</v>
      </c>
      <c r="E208" t="s">
        <v>606</v>
      </c>
      <c r="F208">
        <v>14796</v>
      </c>
      <c r="G208">
        <v>70690</v>
      </c>
      <c r="J208">
        <v>148837</v>
      </c>
      <c r="K208">
        <v>0</v>
      </c>
      <c r="L208">
        <v>1</v>
      </c>
      <c r="M208">
        <v>1</v>
      </c>
      <c r="N208">
        <v>647411</v>
      </c>
      <c r="O208" t="s">
        <v>607</v>
      </c>
      <c r="P208">
        <v>334118</v>
      </c>
      <c r="Q208" t="s">
        <v>824</v>
      </c>
      <c r="R208">
        <v>1</v>
      </c>
      <c r="S208" t="s">
        <v>609</v>
      </c>
      <c r="T208">
        <v>1</v>
      </c>
      <c r="U208" t="s">
        <v>610</v>
      </c>
      <c r="V208">
        <v>1307479</v>
      </c>
      <c r="X208">
        <v>1307481</v>
      </c>
      <c r="Y208">
        <v>0</v>
      </c>
      <c r="Z208" s="5">
        <v>46007.253472222219</v>
      </c>
      <c r="AA208" s="5">
        <v>46007.254861111112</v>
      </c>
      <c r="AB208">
        <v>66</v>
      </c>
      <c r="AC208">
        <v>6</v>
      </c>
      <c r="AD208">
        <v>557612</v>
      </c>
      <c r="AE208">
        <v>0</v>
      </c>
      <c r="AF208" s="5">
        <v>46002.440972222219</v>
      </c>
      <c r="AG208" s="5">
        <v>46002.440972222219</v>
      </c>
      <c r="AH208" s="5">
        <v>46007.254861111112</v>
      </c>
      <c r="AI208">
        <v>1</v>
      </c>
    </row>
    <row r="209" spans="1:35" x14ac:dyDescent="0.2">
      <c r="A209" t="s">
        <v>836</v>
      </c>
      <c r="B209" t="s">
        <v>604</v>
      </c>
      <c r="C209" t="s">
        <v>634</v>
      </c>
      <c r="D209">
        <v>342121</v>
      </c>
      <c r="E209" t="s">
        <v>606</v>
      </c>
      <c r="F209">
        <v>14796</v>
      </c>
      <c r="G209">
        <v>70690</v>
      </c>
      <c r="J209">
        <v>148837</v>
      </c>
      <c r="K209">
        <v>0</v>
      </c>
      <c r="L209">
        <v>1</v>
      </c>
      <c r="M209">
        <v>1</v>
      </c>
      <c r="N209">
        <v>647426</v>
      </c>
      <c r="O209" t="s">
        <v>607</v>
      </c>
      <c r="P209">
        <v>334118</v>
      </c>
      <c r="Q209" t="s">
        <v>824</v>
      </c>
      <c r="R209">
        <v>1</v>
      </c>
      <c r="S209" t="s">
        <v>609</v>
      </c>
      <c r="T209">
        <v>1</v>
      </c>
      <c r="U209" t="s">
        <v>610</v>
      </c>
      <c r="V209">
        <v>1307479</v>
      </c>
      <c r="X209">
        <v>1307481</v>
      </c>
      <c r="Y209">
        <v>0</v>
      </c>
      <c r="Z209" s="5">
        <v>46007.254166666666</v>
      </c>
      <c r="AA209" s="5">
        <v>46007.254166666666</v>
      </c>
      <c r="AB209">
        <v>18</v>
      </c>
      <c r="AC209">
        <v>1</v>
      </c>
      <c r="AD209">
        <v>557612</v>
      </c>
      <c r="AE209">
        <v>0</v>
      </c>
      <c r="AF209" s="5">
        <v>46002.440972222219</v>
      </c>
      <c r="AG209" s="5">
        <v>46002.440972222219</v>
      </c>
      <c r="AH209" s="5">
        <v>46007.254166666666</v>
      </c>
      <c r="AI209">
        <v>1</v>
      </c>
    </row>
    <row r="210" spans="1:35" x14ac:dyDescent="0.2">
      <c r="A210" t="s">
        <v>837</v>
      </c>
      <c r="B210" t="s">
        <v>604</v>
      </c>
      <c r="C210" t="s">
        <v>634</v>
      </c>
      <c r="D210">
        <v>342121</v>
      </c>
      <c r="E210" t="s">
        <v>606</v>
      </c>
      <c r="F210">
        <v>14796</v>
      </c>
      <c r="G210">
        <v>70690</v>
      </c>
      <c r="J210">
        <v>148837</v>
      </c>
      <c r="K210">
        <v>0</v>
      </c>
      <c r="L210">
        <v>1</v>
      </c>
      <c r="M210">
        <v>1</v>
      </c>
      <c r="N210">
        <v>648953</v>
      </c>
      <c r="O210" t="s">
        <v>607</v>
      </c>
      <c r="P210">
        <v>334118</v>
      </c>
      <c r="Q210" t="s">
        <v>824</v>
      </c>
      <c r="R210">
        <v>1</v>
      </c>
      <c r="S210" t="s">
        <v>609</v>
      </c>
      <c r="T210">
        <v>1</v>
      </c>
      <c r="U210" t="s">
        <v>610</v>
      </c>
      <c r="V210">
        <v>1307481</v>
      </c>
      <c r="X210">
        <v>1307481</v>
      </c>
      <c r="Y210">
        <v>1</v>
      </c>
      <c r="Z210" s="5">
        <v>46007.254166666666</v>
      </c>
      <c r="AA210" s="5">
        <v>46007.254166666666</v>
      </c>
      <c r="AB210">
        <v>6</v>
      </c>
      <c r="AC210">
        <v>5</v>
      </c>
      <c r="AD210">
        <v>557612</v>
      </c>
      <c r="AE210">
        <v>0</v>
      </c>
      <c r="AF210" s="5">
        <v>46002.440972222219</v>
      </c>
      <c r="AG210" s="5">
        <v>46002.440972222219</v>
      </c>
      <c r="AH210" s="5">
        <v>46007.254166666666</v>
      </c>
      <c r="AI210">
        <v>1</v>
      </c>
    </row>
    <row r="211" spans="1:35" x14ac:dyDescent="0.2">
      <c r="A211" t="s">
        <v>838</v>
      </c>
      <c r="B211" t="s">
        <v>604</v>
      </c>
      <c r="C211" t="s">
        <v>634</v>
      </c>
      <c r="D211">
        <v>342121</v>
      </c>
      <c r="E211" t="s">
        <v>606</v>
      </c>
      <c r="F211">
        <v>14796</v>
      </c>
      <c r="G211">
        <v>70690</v>
      </c>
      <c r="J211">
        <v>148837</v>
      </c>
      <c r="K211">
        <v>0</v>
      </c>
      <c r="L211">
        <v>1</v>
      </c>
      <c r="M211">
        <v>1</v>
      </c>
      <c r="N211">
        <v>652940</v>
      </c>
      <c r="O211" t="s">
        <v>607</v>
      </c>
      <c r="P211">
        <v>334118</v>
      </c>
      <c r="Q211" t="s">
        <v>824</v>
      </c>
      <c r="R211">
        <v>1</v>
      </c>
      <c r="S211" t="s">
        <v>609</v>
      </c>
      <c r="T211">
        <v>1</v>
      </c>
      <c r="U211" t="s">
        <v>610</v>
      </c>
      <c r="V211">
        <v>1307481</v>
      </c>
      <c r="X211">
        <v>1307481</v>
      </c>
      <c r="Y211">
        <v>1</v>
      </c>
      <c r="Z211" s="5">
        <v>46007.25277777778</v>
      </c>
      <c r="AA211" s="5">
        <v>46007.25277777778</v>
      </c>
      <c r="AB211">
        <v>9</v>
      </c>
      <c r="AC211">
        <v>4</v>
      </c>
      <c r="AD211">
        <v>557612</v>
      </c>
      <c r="AE211">
        <v>0</v>
      </c>
      <c r="AF211" s="5">
        <v>46002.440972222219</v>
      </c>
      <c r="AG211" s="5">
        <v>46002.440972222219</v>
      </c>
      <c r="AH211" s="5">
        <v>46007.25277777778</v>
      </c>
      <c r="AI211">
        <v>1</v>
      </c>
    </row>
    <row r="212" spans="1:35" x14ac:dyDescent="0.2">
      <c r="A212" t="s">
        <v>839</v>
      </c>
      <c r="B212" t="s">
        <v>604</v>
      </c>
      <c r="C212" t="s">
        <v>634</v>
      </c>
      <c r="D212">
        <v>342121</v>
      </c>
      <c r="E212" t="s">
        <v>606</v>
      </c>
      <c r="F212">
        <v>14796</v>
      </c>
      <c r="G212">
        <v>70690</v>
      </c>
      <c r="J212">
        <v>148837</v>
      </c>
      <c r="K212">
        <v>0</v>
      </c>
      <c r="L212">
        <v>1</v>
      </c>
      <c r="M212">
        <v>1</v>
      </c>
      <c r="N212">
        <v>647499</v>
      </c>
      <c r="O212" t="s">
        <v>607</v>
      </c>
      <c r="P212">
        <v>334118</v>
      </c>
      <c r="Q212" t="s">
        <v>824</v>
      </c>
      <c r="R212">
        <v>1</v>
      </c>
      <c r="S212" t="s">
        <v>609</v>
      </c>
      <c r="T212">
        <v>1</v>
      </c>
      <c r="U212" t="s">
        <v>610</v>
      </c>
      <c r="V212">
        <v>1307480</v>
      </c>
      <c r="X212">
        <v>1307481</v>
      </c>
      <c r="Y212">
        <v>0</v>
      </c>
      <c r="Z212" s="5">
        <v>46007.25277777778</v>
      </c>
      <c r="AA212" s="5">
        <v>46007.253472222219</v>
      </c>
      <c r="AB212">
        <v>9</v>
      </c>
      <c r="AC212">
        <v>1</v>
      </c>
      <c r="AD212">
        <v>557612</v>
      </c>
      <c r="AE212">
        <v>0</v>
      </c>
      <c r="AF212" s="5">
        <v>46002.440972222219</v>
      </c>
      <c r="AG212" s="5">
        <v>46002.440972222219</v>
      </c>
      <c r="AH212" s="5">
        <v>46007.253472222219</v>
      </c>
      <c r="AI212">
        <v>1</v>
      </c>
    </row>
    <row r="213" spans="1:35" x14ac:dyDescent="0.2">
      <c r="A213" t="s">
        <v>840</v>
      </c>
      <c r="B213" t="s">
        <v>604</v>
      </c>
      <c r="C213" t="s">
        <v>634</v>
      </c>
      <c r="D213">
        <v>342121</v>
      </c>
      <c r="E213" t="s">
        <v>606</v>
      </c>
      <c r="F213">
        <v>14796</v>
      </c>
      <c r="G213">
        <v>70690</v>
      </c>
      <c r="J213">
        <v>148837</v>
      </c>
      <c r="K213">
        <v>0</v>
      </c>
      <c r="L213">
        <v>1</v>
      </c>
      <c r="M213">
        <v>1</v>
      </c>
      <c r="N213">
        <v>657525</v>
      </c>
      <c r="O213" t="s">
        <v>607</v>
      </c>
      <c r="P213">
        <v>334118</v>
      </c>
      <c r="Q213" t="s">
        <v>824</v>
      </c>
      <c r="R213">
        <v>1</v>
      </c>
      <c r="S213" t="s">
        <v>609</v>
      </c>
      <c r="T213">
        <v>1</v>
      </c>
      <c r="U213" t="s">
        <v>610</v>
      </c>
      <c r="V213">
        <v>1307481</v>
      </c>
      <c r="X213">
        <v>1307481</v>
      </c>
      <c r="Y213">
        <v>1</v>
      </c>
      <c r="Z213" s="5">
        <v>46007.253472222219</v>
      </c>
      <c r="AA213" s="5">
        <v>46007.254166666666</v>
      </c>
      <c r="AB213">
        <v>53</v>
      </c>
      <c r="AC213">
        <v>1</v>
      </c>
      <c r="AD213">
        <v>557612</v>
      </c>
      <c r="AE213">
        <v>0</v>
      </c>
      <c r="AF213" s="5">
        <v>46002.440972222219</v>
      </c>
      <c r="AG213" s="5">
        <v>46002.440972222219</v>
      </c>
      <c r="AH213" s="5">
        <v>46007.254166666666</v>
      </c>
      <c r="AI213">
        <v>1</v>
      </c>
    </row>
    <row r="214" spans="1:35" x14ac:dyDescent="0.2">
      <c r="A214" t="s">
        <v>841</v>
      </c>
      <c r="B214" t="s">
        <v>604</v>
      </c>
      <c r="C214" t="s">
        <v>634</v>
      </c>
      <c r="D214">
        <v>342121</v>
      </c>
      <c r="E214" t="s">
        <v>606</v>
      </c>
      <c r="F214">
        <v>14796</v>
      </c>
      <c r="G214">
        <v>70690</v>
      </c>
      <c r="J214">
        <v>148837</v>
      </c>
      <c r="K214">
        <v>0</v>
      </c>
      <c r="L214">
        <v>0</v>
      </c>
      <c r="M214">
        <v>0</v>
      </c>
      <c r="N214">
        <v>648951</v>
      </c>
      <c r="O214" t="s">
        <v>607</v>
      </c>
      <c r="P214">
        <v>334118</v>
      </c>
      <c r="Q214" t="s">
        <v>824</v>
      </c>
      <c r="R214">
        <v>1</v>
      </c>
      <c r="S214" t="s">
        <v>609</v>
      </c>
      <c r="T214">
        <v>1</v>
      </c>
      <c r="U214" t="s">
        <v>610</v>
      </c>
      <c r="V214">
        <v>-1</v>
      </c>
      <c r="X214">
        <v>1307481</v>
      </c>
      <c r="Z214" s="5">
        <v>46007.254861111112</v>
      </c>
      <c r="AA214" s="5">
        <v>46007.254861111112</v>
      </c>
      <c r="AC214">
        <v>1</v>
      </c>
      <c r="AD214">
        <v>557612</v>
      </c>
      <c r="AE214">
        <v>0</v>
      </c>
      <c r="AF214" s="5">
        <v>46002.440972222219</v>
      </c>
      <c r="AG214" s="5">
        <v>46002.440972222219</v>
      </c>
      <c r="AI214">
        <v>1</v>
      </c>
    </row>
    <row r="215" spans="1:35" x14ac:dyDescent="0.2">
      <c r="A215" t="s">
        <v>842</v>
      </c>
      <c r="B215" t="s">
        <v>604</v>
      </c>
      <c r="C215" t="s">
        <v>654</v>
      </c>
      <c r="D215">
        <v>342126</v>
      </c>
      <c r="E215" t="s">
        <v>606</v>
      </c>
      <c r="F215">
        <v>14796</v>
      </c>
      <c r="G215">
        <v>70690</v>
      </c>
      <c r="J215">
        <v>148840</v>
      </c>
      <c r="K215">
        <v>0</v>
      </c>
      <c r="L215">
        <v>1</v>
      </c>
      <c r="M215">
        <v>1</v>
      </c>
      <c r="N215">
        <v>647499</v>
      </c>
      <c r="O215" t="s">
        <v>607</v>
      </c>
      <c r="P215">
        <v>339432</v>
      </c>
      <c r="Q215" t="s">
        <v>843</v>
      </c>
      <c r="R215">
        <v>1</v>
      </c>
      <c r="S215" t="s">
        <v>609</v>
      </c>
      <c r="T215">
        <v>0</v>
      </c>
      <c r="U215" t="s">
        <v>610</v>
      </c>
      <c r="V215">
        <v>1326975</v>
      </c>
      <c r="X215">
        <v>1326976</v>
      </c>
      <c r="Y215">
        <v>0</v>
      </c>
      <c r="Z215" s="5">
        <v>46007.241666666669</v>
      </c>
      <c r="AA215" s="5">
        <v>46007.242361111108</v>
      </c>
      <c r="AB215">
        <v>60</v>
      </c>
      <c r="AC215">
        <v>1</v>
      </c>
      <c r="AD215">
        <v>557612</v>
      </c>
      <c r="AE215">
        <v>0</v>
      </c>
      <c r="AF215" s="5">
        <v>46002.440972222219</v>
      </c>
      <c r="AG215" s="5">
        <v>46002.440972222219</v>
      </c>
      <c r="AH215" s="5">
        <v>46007.242361111108</v>
      </c>
      <c r="AI215">
        <v>1</v>
      </c>
    </row>
    <row r="216" spans="1:35" x14ac:dyDescent="0.2">
      <c r="A216" t="s">
        <v>844</v>
      </c>
      <c r="B216" t="s">
        <v>604</v>
      </c>
      <c r="C216" t="s">
        <v>654</v>
      </c>
      <c r="D216">
        <v>342126</v>
      </c>
      <c r="E216" t="s">
        <v>606</v>
      </c>
      <c r="F216">
        <v>14796</v>
      </c>
      <c r="G216">
        <v>70690</v>
      </c>
      <c r="J216">
        <v>148840</v>
      </c>
      <c r="K216">
        <v>0</v>
      </c>
      <c r="L216">
        <v>0</v>
      </c>
      <c r="M216">
        <v>0</v>
      </c>
      <c r="N216">
        <v>647295</v>
      </c>
      <c r="O216" t="s">
        <v>607</v>
      </c>
      <c r="P216">
        <v>339432</v>
      </c>
      <c r="Q216" t="s">
        <v>843</v>
      </c>
      <c r="R216">
        <v>1</v>
      </c>
      <c r="S216" t="s">
        <v>609</v>
      </c>
      <c r="T216">
        <v>0</v>
      </c>
      <c r="U216" t="s">
        <v>610</v>
      </c>
      <c r="V216">
        <v>-1</v>
      </c>
      <c r="X216">
        <v>1326976</v>
      </c>
      <c r="Z216" s="5">
        <v>46007.241666666669</v>
      </c>
      <c r="AA216" s="5">
        <v>46007.241666666669</v>
      </c>
      <c r="AC216">
        <v>0</v>
      </c>
      <c r="AD216">
        <v>557612</v>
      </c>
      <c r="AE216">
        <v>0</v>
      </c>
      <c r="AF216" s="5">
        <v>46002.440972222219</v>
      </c>
      <c r="AG216" s="5">
        <v>46002.440972222219</v>
      </c>
      <c r="AI216">
        <v>1</v>
      </c>
    </row>
    <row r="217" spans="1:35" x14ac:dyDescent="0.2">
      <c r="A217" t="s">
        <v>845</v>
      </c>
      <c r="B217" t="s">
        <v>604</v>
      </c>
      <c r="C217" t="s">
        <v>654</v>
      </c>
      <c r="D217">
        <v>342126</v>
      </c>
      <c r="E217" t="s">
        <v>606</v>
      </c>
      <c r="F217">
        <v>14796</v>
      </c>
      <c r="G217">
        <v>70690</v>
      </c>
      <c r="J217">
        <v>148840</v>
      </c>
      <c r="K217">
        <v>0</v>
      </c>
      <c r="L217">
        <v>0</v>
      </c>
      <c r="M217">
        <v>0</v>
      </c>
      <c r="N217">
        <v>652940</v>
      </c>
      <c r="O217" t="s">
        <v>607</v>
      </c>
      <c r="P217">
        <v>339432</v>
      </c>
      <c r="Q217" t="s">
        <v>843</v>
      </c>
      <c r="R217">
        <v>1</v>
      </c>
      <c r="S217" t="s">
        <v>609</v>
      </c>
      <c r="T217">
        <v>0</v>
      </c>
      <c r="U217" t="s">
        <v>610</v>
      </c>
      <c r="V217">
        <v>-1</v>
      </c>
      <c r="X217">
        <v>1326976</v>
      </c>
      <c r="Z217" s="5">
        <v>46007.241666666669</v>
      </c>
      <c r="AA217" s="5">
        <v>46007.241666666669</v>
      </c>
      <c r="AC217">
        <v>0</v>
      </c>
      <c r="AD217">
        <v>557612</v>
      </c>
      <c r="AE217">
        <v>0</v>
      </c>
      <c r="AF217" s="5">
        <v>46002.440972222219</v>
      </c>
      <c r="AG217" s="5">
        <v>46002.440972222219</v>
      </c>
      <c r="AI217">
        <v>1</v>
      </c>
    </row>
    <row r="218" spans="1:35" x14ac:dyDescent="0.2">
      <c r="A218" t="s">
        <v>846</v>
      </c>
      <c r="B218" t="s">
        <v>604</v>
      </c>
      <c r="C218" t="s">
        <v>654</v>
      </c>
      <c r="D218">
        <v>342126</v>
      </c>
      <c r="E218" t="s">
        <v>606</v>
      </c>
      <c r="F218">
        <v>14796</v>
      </c>
      <c r="G218">
        <v>70690</v>
      </c>
      <c r="J218">
        <v>148840</v>
      </c>
      <c r="K218">
        <v>0</v>
      </c>
      <c r="L218">
        <v>1</v>
      </c>
      <c r="M218">
        <v>1</v>
      </c>
      <c r="N218">
        <v>647411</v>
      </c>
      <c r="O218" t="s">
        <v>607</v>
      </c>
      <c r="P218">
        <v>339432</v>
      </c>
      <c r="Q218" t="s">
        <v>843</v>
      </c>
      <c r="R218">
        <v>1</v>
      </c>
      <c r="S218" t="s">
        <v>609</v>
      </c>
      <c r="T218">
        <v>0</v>
      </c>
      <c r="U218" t="s">
        <v>610</v>
      </c>
      <c r="V218">
        <v>1326976</v>
      </c>
      <c r="X218">
        <v>1326976</v>
      </c>
      <c r="Y218">
        <v>1</v>
      </c>
      <c r="Z218" s="5">
        <v>46007.241666666669</v>
      </c>
      <c r="AA218" s="5">
        <v>46007.241666666669</v>
      </c>
      <c r="AB218">
        <v>60</v>
      </c>
      <c r="AC218">
        <v>2</v>
      </c>
      <c r="AD218">
        <v>557612</v>
      </c>
      <c r="AE218">
        <v>0</v>
      </c>
      <c r="AF218" s="5">
        <v>46002.440972222219</v>
      </c>
      <c r="AG218" s="5">
        <v>46002.440972222219</v>
      </c>
      <c r="AH218" s="5">
        <v>46007.241666666669</v>
      </c>
      <c r="AI218">
        <v>1</v>
      </c>
    </row>
    <row r="219" spans="1:35" x14ac:dyDescent="0.2">
      <c r="A219" t="s">
        <v>847</v>
      </c>
      <c r="B219" t="s">
        <v>604</v>
      </c>
      <c r="C219" t="s">
        <v>654</v>
      </c>
      <c r="D219">
        <v>342126</v>
      </c>
      <c r="E219" t="s">
        <v>606</v>
      </c>
      <c r="F219">
        <v>14796</v>
      </c>
      <c r="G219">
        <v>70690</v>
      </c>
      <c r="J219">
        <v>148840</v>
      </c>
      <c r="K219">
        <v>0</v>
      </c>
      <c r="L219">
        <v>1</v>
      </c>
      <c r="M219">
        <v>1</v>
      </c>
      <c r="N219">
        <v>647426</v>
      </c>
      <c r="O219" t="s">
        <v>607</v>
      </c>
      <c r="P219">
        <v>339432</v>
      </c>
      <c r="Q219" t="s">
        <v>843</v>
      </c>
      <c r="R219">
        <v>1</v>
      </c>
      <c r="S219" t="s">
        <v>609</v>
      </c>
      <c r="T219">
        <v>0</v>
      </c>
      <c r="U219" t="s">
        <v>610</v>
      </c>
      <c r="V219">
        <v>1326978</v>
      </c>
      <c r="X219">
        <v>1326976</v>
      </c>
      <c r="Y219">
        <v>0</v>
      </c>
      <c r="Z219" s="5">
        <v>46007.241666666669</v>
      </c>
      <c r="AA219" s="5">
        <v>46007.242361111108</v>
      </c>
      <c r="AB219">
        <v>60</v>
      </c>
      <c r="AC219">
        <v>1</v>
      </c>
      <c r="AD219">
        <v>557612</v>
      </c>
      <c r="AE219">
        <v>0</v>
      </c>
      <c r="AF219" s="5">
        <v>46002.440972222219</v>
      </c>
      <c r="AG219" s="5">
        <v>46002.440972222219</v>
      </c>
      <c r="AH219" s="5">
        <v>46007.242361111108</v>
      </c>
      <c r="AI219">
        <v>1</v>
      </c>
    </row>
    <row r="220" spans="1:35" x14ac:dyDescent="0.2">
      <c r="A220" t="s">
        <v>848</v>
      </c>
      <c r="B220" t="s">
        <v>604</v>
      </c>
      <c r="C220" t="s">
        <v>654</v>
      </c>
      <c r="D220">
        <v>342126</v>
      </c>
      <c r="E220" t="s">
        <v>606</v>
      </c>
      <c r="F220">
        <v>14796</v>
      </c>
      <c r="G220">
        <v>70690</v>
      </c>
      <c r="J220">
        <v>148840</v>
      </c>
      <c r="K220">
        <v>0</v>
      </c>
      <c r="L220">
        <v>1</v>
      </c>
      <c r="M220">
        <v>1</v>
      </c>
      <c r="N220">
        <v>652934</v>
      </c>
      <c r="O220" t="s">
        <v>607</v>
      </c>
      <c r="P220">
        <v>339432</v>
      </c>
      <c r="Q220" t="s">
        <v>843</v>
      </c>
      <c r="R220">
        <v>1</v>
      </c>
      <c r="S220" t="s">
        <v>609</v>
      </c>
      <c r="T220">
        <v>0</v>
      </c>
      <c r="U220" t="s">
        <v>610</v>
      </c>
      <c r="V220">
        <v>1326975</v>
      </c>
      <c r="X220">
        <v>1326976</v>
      </c>
      <c r="Y220">
        <v>0</v>
      </c>
      <c r="Z220" s="5">
        <v>46007.241666666669</v>
      </c>
      <c r="AA220" s="5">
        <v>46007.241666666669</v>
      </c>
      <c r="AB220">
        <v>60</v>
      </c>
      <c r="AC220">
        <v>2</v>
      </c>
      <c r="AD220">
        <v>557612</v>
      </c>
      <c r="AE220">
        <v>0</v>
      </c>
      <c r="AF220" s="5">
        <v>46002.440972222219</v>
      </c>
      <c r="AG220" s="5">
        <v>46002.440972222219</v>
      </c>
      <c r="AH220" s="5">
        <v>46007.241666666669</v>
      </c>
      <c r="AI220">
        <v>1</v>
      </c>
    </row>
    <row r="221" spans="1:35" x14ac:dyDescent="0.2">
      <c r="A221" t="s">
        <v>849</v>
      </c>
      <c r="B221" t="s">
        <v>604</v>
      </c>
      <c r="C221" t="s">
        <v>654</v>
      </c>
      <c r="D221">
        <v>342126</v>
      </c>
      <c r="E221" t="s">
        <v>606</v>
      </c>
      <c r="F221">
        <v>14796</v>
      </c>
      <c r="G221">
        <v>70690</v>
      </c>
      <c r="J221">
        <v>148840</v>
      </c>
      <c r="K221">
        <v>0</v>
      </c>
      <c r="L221">
        <v>0</v>
      </c>
      <c r="M221">
        <v>0</v>
      </c>
      <c r="N221">
        <v>648986</v>
      </c>
      <c r="O221" t="s">
        <v>607</v>
      </c>
      <c r="P221">
        <v>339432</v>
      </c>
      <c r="Q221" t="s">
        <v>843</v>
      </c>
      <c r="R221">
        <v>1</v>
      </c>
      <c r="S221" t="s">
        <v>609</v>
      </c>
      <c r="T221">
        <v>0</v>
      </c>
      <c r="U221" t="s">
        <v>610</v>
      </c>
      <c r="V221">
        <v>-1</v>
      </c>
      <c r="X221">
        <v>1326976</v>
      </c>
      <c r="Z221" s="5">
        <v>46007.241666666669</v>
      </c>
      <c r="AA221" s="5">
        <v>46007.241666666669</v>
      </c>
      <c r="AC221">
        <v>0</v>
      </c>
      <c r="AD221">
        <v>557612</v>
      </c>
      <c r="AE221">
        <v>0</v>
      </c>
      <c r="AF221" s="5">
        <v>46002.440972222219</v>
      </c>
      <c r="AG221" s="5">
        <v>46002.440972222219</v>
      </c>
      <c r="AI221">
        <v>1</v>
      </c>
    </row>
    <row r="222" spans="1:35" x14ac:dyDescent="0.2">
      <c r="A222" t="s">
        <v>850</v>
      </c>
      <c r="B222" t="s">
        <v>604</v>
      </c>
      <c r="C222" t="s">
        <v>654</v>
      </c>
      <c r="D222">
        <v>342126</v>
      </c>
      <c r="E222" t="s">
        <v>606</v>
      </c>
      <c r="F222">
        <v>14796</v>
      </c>
      <c r="G222">
        <v>70690</v>
      </c>
      <c r="J222">
        <v>148840</v>
      </c>
      <c r="K222">
        <v>0</v>
      </c>
      <c r="L222">
        <v>0</v>
      </c>
      <c r="M222">
        <v>0</v>
      </c>
      <c r="N222">
        <v>647504</v>
      </c>
      <c r="O222" t="s">
        <v>607</v>
      </c>
      <c r="P222">
        <v>339432</v>
      </c>
      <c r="Q222" t="s">
        <v>843</v>
      </c>
      <c r="R222">
        <v>1</v>
      </c>
      <c r="S222" t="s">
        <v>609</v>
      </c>
      <c r="T222">
        <v>0</v>
      </c>
      <c r="U222" t="s">
        <v>610</v>
      </c>
      <c r="V222">
        <v>-1</v>
      </c>
      <c r="X222">
        <v>1326976</v>
      </c>
      <c r="Z222" s="5">
        <v>46007.241666666669</v>
      </c>
      <c r="AA222" s="5">
        <v>46007.241666666669</v>
      </c>
      <c r="AC222">
        <v>0</v>
      </c>
      <c r="AD222">
        <v>557612</v>
      </c>
      <c r="AE222">
        <v>0</v>
      </c>
      <c r="AF222" s="5">
        <v>46002.440972222219</v>
      </c>
      <c r="AG222" s="5">
        <v>46002.440972222219</v>
      </c>
      <c r="AI222">
        <v>1</v>
      </c>
    </row>
    <row r="223" spans="1:35" x14ac:dyDescent="0.2">
      <c r="A223" t="s">
        <v>851</v>
      </c>
      <c r="B223" t="s">
        <v>604</v>
      </c>
      <c r="C223" t="s">
        <v>654</v>
      </c>
      <c r="D223">
        <v>342126</v>
      </c>
      <c r="E223" t="s">
        <v>606</v>
      </c>
      <c r="F223">
        <v>14796</v>
      </c>
      <c r="G223">
        <v>70690</v>
      </c>
      <c r="J223">
        <v>148840</v>
      </c>
      <c r="K223">
        <v>0</v>
      </c>
      <c r="L223">
        <v>1</v>
      </c>
      <c r="M223">
        <v>1</v>
      </c>
      <c r="N223">
        <v>647496</v>
      </c>
      <c r="O223" t="s">
        <v>607</v>
      </c>
      <c r="P223">
        <v>339432</v>
      </c>
      <c r="Q223" t="s">
        <v>843</v>
      </c>
      <c r="R223">
        <v>1</v>
      </c>
      <c r="S223" t="s">
        <v>609</v>
      </c>
      <c r="T223">
        <v>0</v>
      </c>
      <c r="U223" t="s">
        <v>610</v>
      </c>
      <c r="V223">
        <v>1326976</v>
      </c>
      <c r="X223">
        <v>1326976</v>
      </c>
      <c r="Y223">
        <v>1</v>
      </c>
      <c r="Z223" s="5">
        <v>46007.241666666669</v>
      </c>
      <c r="AA223" s="5">
        <v>46007.241666666669</v>
      </c>
      <c r="AB223">
        <v>60</v>
      </c>
      <c r="AC223">
        <v>1</v>
      </c>
      <c r="AD223">
        <v>557612</v>
      </c>
      <c r="AE223">
        <v>0</v>
      </c>
      <c r="AF223" s="5">
        <v>46002.440972222219</v>
      </c>
      <c r="AG223" s="5">
        <v>46002.440972222219</v>
      </c>
      <c r="AH223" s="5">
        <v>46007.241666666669</v>
      </c>
      <c r="AI223">
        <v>1</v>
      </c>
    </row>
    <row r="224" spans="1:35" x14ac:dyDescent="0.2">
      <c r="A224" t="s">
        <v>852</v>
      </c>
      <c r="B224" t="s">
        <v>604</v>
      </c>
      <c r="C224" t="s">
        <v>654</v>
      </c>
      <c r="D224">
        <v>342126</v>
      </c>
      <c r="E224" t="s">
        <v>606</v>
      </c>
      <c r="F224">
        <v>14796</v>
      </c>
      <c r="G224">
        <v>70690</v>
      </c>
      <c r="J224">
        <v>148840</v>
      </c>
      <c r="K224">
        <v>0</v>
      </c>
      <c r="L224">
        <v>1</v>
      </c>
      <c r="M224">
        <v>1</v>
      </c>
      <c r="N224">
        <v>652958</v>
      </c>
      <c r="O224" t="s">
        <v>607</v>
      </c>
      <c r="P224">
        <v>339432</v>
      </c>
      <c r="Q224" t="s">
        <v>843</v>
      </c>
      <c r="R224">
        <v>1</v>
      </c>
      <c r="S224" t="s">
        <v>609</v>
      </c>
      <c r="T224">
        <v>0</v>
      </c>
      <c r="U224" t="s">
        <v>610</v>
      </c>
      <c r="V224">
        <v>1326975</v>
      </c>
      <c r="X224">
        <v>1326976</v>
      </c>
      <c r="Y224">
        <v>0</v>
      </c>
      <c r="Z224" s="5">
        <v>46007.241666666669</v>
      </c>
      <c r="AA224" s="5">
        <v>46007.241666666669</v>
      </c>
      <c r="AB224">
        <v>60</v>
      </c>
      <c r="AC224">
        <v>1</v>
      </c>
      <c r="AD224">
        <v>557612</v>
      </c>
      <c r="AE224">
        <v>0</v>
      </c>
      <c r="AF224" s="5">
        <v>46002.440972222219</v>
      </c>
      <c r="AG224" s="5">
        <v>46002.440972222219</v>
      </c>
      <c r="AH224" s="5">
        <v>46007.241666666669</v>
      </c>
      <c r="AI224">
        <v>1</v>
      </c>
    </row>
    <row r="225" spans="1:35" x14ac:dyDescent="0.2">
      <c r="A225" t="s">
        <v>853</v>
      </c>
      <c r="B225" t="s">
        <v>604</v>
      </c>
      <c r="C225" t="s">
        <v>654</v>
      </c>
      <c r="D225">
        <v>342126</v>
      </c>
      <c r="E225" t="s">
        <v>606</v>
      </c>
      <c r="F225">
        <v>14796</v>
      </c>
      <c r="G225">
        <v>70690</v>
      </c>
      <c r="J225">
        <v>148840</v>
      </c>
      <c r="K225">
        <v>0</v>
      </c>
      <c r="L225">
        <v>1</v>
      </c>
      <c r="M225">
        <v>1</v>
      </c>
      <c r="N225">
        <v>647433</v>
      </c>
      <c r="O225" t="s">
        <v>607</v>
      </c>
      <c r="P225">
        <v>339432</v>
      </c>
      <c r="Q225" t="s">
        <v>843</v>
      </c>
      <c r="R225">
        <v>1</v>
      </c>
      <c r="S225" t="s">
        <v>609</v>
      </c>
      <c r="T225">
        <v>0</v>
      </c>
      <c r="U225" t="s">
        <v>610</v>
      </c>
      <c r="V225">
        <v>1326976</v>
      </c>
      <c r="X225">
        <v>1326976</v>
      </c>
      <c r="Y225">
        <v>1</v>
      </c>
      <c r="Z225" s="5">
        <v>46007.241666666669</v>
      </c>
      <c r="AA225" s="5">
        <v>46007.241666666669</v>
      </c>
      <c r="AB225">
        <v>60</v>
      </c>
      <c r="AC225">
        <v>2</v>
      </c>
      <c r="AD225">
        <v>557612</v>
      </c>
      <c r="AE225">
        <v>0</v>
      </c>
      <c r="AF225" s="5">
        <v>46002.440972222219</v>
      </c>
      <c r="AG225" s="5">
        <v>46002.440972222219</v>
      </c>
      <c r="AH225" s="5">
        <v>46007.241666666669</v>
      </c>
      <c r="AI225">
        <v>1</v>
      </c>
    </row>
    <row r="226" spans="1:35" x14ac:dyDescent="0.2">
      <c r="A226" t="s">
        <v>854</v>
      </c>
      <c r="B226" t="s">
        <v>604</v>
      </c>
      <c r="C226" t="s">
        <v>654</v>
      </c>
      <c r="D226">
        <v>342126</v>
      </c>
      <c r="E226" t="s">
        <v>606</v>
      </c>
      <c r="F226">
        <v>14796</v>
      </c>
      <c r="G226">
        <v>70690</v>
      </c>
      <c r="J226">
        <v>148840</v>
      </c>
      <c r="K226">
        <v>0</v>
      </c>
      <c r="L226">
        <v>0</v>
      </c>
      <c r="M226">
        <v>0</v>
      </c>
      <c r="N226">
        <v>652938</v>
      </c>
      <c r="O226" t="s">
        <v>607</v>
      </c>
      <c r="P226">
        <v>339432</v>
      </c>
      <c r="Q226" t="s">
        <v>843</v>
      </c>
      <c r="R226">
        <v>1</v>
      </c>
      <c r="S226" t="s">
        <v>609</v>
      </c>
      <c r="T226">
        <v>0</v>
      </c>
      <c r="U226" t="s">
        <v>610</v>
      </c>
      <c r="V226">
        <v>-1</v>
      </c>
      <c r="X226">
        <v>1326976</v>
      </c>
      <c r="Z226" s="5">
        <v>46007.241666666669</v>
      </c>
      <c r="AA226" s="5">
        <v>46007.241666666669</v>
      </c>
      <c r="AC226">
        <v>0</v>
      </c>
      <c r="AD226">
        <v>557612</v>
      </c>
      <c r="AE226">
        <v>0</v>
      </c>
      <c r="AF226" s="5">
        <v>46002.440972222219</v>
      </c>
      <c r="AG226" s="5">
        <v>46002.440972222219</v>
      </c>
      <c r="AI226">
        <v>1</v>
      </c>
    </row>
    <row r="227" spans="1:35" x14ac:dyDescent="0.2">
      <c r="A227" t="s">
        <v>855</v>
      </c>
      <c r="B227" t="s">
        <v>604</v>
      </c>
      <c r="C227" t="s">
        <v>654</v>
      </c>
      <c r="D227">
        <v>342126</v>
      </c>
      <c r="E227" t="s">
        <v>606</v>
      </c>
      <c r="F227">
        <v>14796</v>
      </c>
      <c r="G227">
        <v>70690</v>
      </c>
      <c r="J227">
        <v>148840</v>
      </c>
      <c r="K227">
        <v>0</v>
      </c>
      <c r="L227">
        <v>1</v>
      </c>
      <c r="M227">
        <v>1</v>
      </c>
      <c r="N227">
        <v>651452</v>
      </c>
      <c r="O227" t="s">
        <v>607</v>
      </c>
      <c r="P227">
        <v>339432</v>
      </c>
      <c r="Q227" t="s">
        <v>843</v>
      </c>
      <c r="R227">
        <v>1</v>
      </c>
      <c r="S227" t="s">
        <v>609</v>
      </c>
      <c r="T227">
        <v>0</v>
      </c>
      <c r="U227" t="s">
        <v>610</v>
      </c>
      <c r="V227">
        <v>1326976</v>
      </c>
      <c r="X227">
        <v>1326976</v>
      </c>
      <c r="Y227">
        <v>1</v>
      </c>
      <c r="Z227" s="5">
        <v>46007.241666666669</v>
      </c>
      <c r="AA227" s="5">
        <v>46007.241666666669</v>
      </c>
      <c r="AB227">
        <v>60</v>
      </c>
      <c r="AC227">
        <v>1</v>
      </c>
      <c r="AD227">
        <v>557612</v>
      </c>
      <c r="AE227">
        <v>0</v>
      </c>
      <c r="AF227" s="5">
        <v>46002.440972222219</v>
      </c>
      <c r="AG227" s="5">
        <v>46002.440972222219</v>
      </c>
      <c r="AH227" s="5">
        <v>46007.241666666669</v>
      </c>
      <c r="AI227">
        <v>1</v>
      </c>
    </row>
    <row r="228" spans="1:35" x14ac:dyDescent="0.2">
      <c r="A228" t="s">
        <v>856</v>
      </c>
      <c r="B228" t="s">
        <v>604</v>
      </c>
      <c r="C228" t="s">
        <v>654</v>
      </c>
      <c r="D228">
        <v>342126</v>
      </c>
      <c r="E228" t="s">
        <v>606</v>
      </c>
      <c r="F228">
        <v>14796</v>
      </c>
      <c r="G228">
        <v>70690</v>
      </c>
      <c r="J228">
        <v>148840</v>
      </c>
      <c r="K228">
        <v>0</v>
      </c>
      <c r="L228">
        <v>1</v>
      </c>
      <c r="M228">
        <v>1</v>
      </c>
      <c r="N228">
        <v>647748</v>
      </c>
      <c r="O228" t="s">
        <v>607</v>
      </c>
      <c r="P228">
        <v>339432</v>
      </c>
      <c r="Q228" t="s">
        <v>843</v>
      </c>
      <c r="R228">
        <v>1</v>
      </c>
      <c r="S228" t="s">
        <v>609</v>
      </c>
      <c r="T228">
        <v>0</v>
      </c>
      <c r="U228" t="s">
        <v>610</v>
      </c>
      <c r="V228">
        <v>1326976</v>
      </c>
      <c r="X228">
        <v>1326976</v>
      </c>
      <c r="Y228">
        <v>1</v>
      </c>
      <c r="Z228" s="5">
        <v>46007.241666666669</v>
      </c>
      <c r="AA228" s="5">
        <v>46007.242361111108</v>
      </c>
      <c r="AB228">
        <v>60</v>
      </c>
      <c r="AC228">
        <v>3</v>
      </c>
      <c r="AD228">
        <v>557612</v>
      </c>
      <c r="AE228">
        <v>0</v>
      </c>
      <c r="AF228" s="5">
        <v>46002.440972222219</v>
      </c>
      <c r="AG228" s="5">
        <v>46002.440972222219</v>
      </c>
      <c r="AH228" s="5">
        <v>46007.242361111108</v>
      </c>
      <c r="AI228">
        <v>1</v>
      </c>
    </row>
    <row r="229" spans="1:35" x14ac:dyDescent="0.2">
      <c r="A229" t="s">
        <v>857</v>
      </c>
      <c r="B229" t="s">
        <v>604</v>
      </c>
      <c r="C229" t="s">
        <v>654</v>
      </c>
      <c r="D229">
        <v>342126</v>
      </c>
      <c r="E229" t="s">
        <v>606</v>
      </c>
      <c r="F229">
        <v>14796</v>
      </c>
      <c r="G229">
        <v>70690</v>
      </c>
      <c r="J229">
        <v>148840</v>
      </c>
      <c r="K229">
        <v>0</v>
      </c>
      <c r="L229">
        <v>0</v>
      </c>
      <c r="M229">
        <v>0</v>
      </c>
      <c r="N229">
        <v>652929</v>
      </c>
      <c r="O229" t="s">
        <v>607</v>
      </c>
      <c r="P229">
        <v>339432</v>
      </c>
      <c r="Q229" t="s">
        <v>843</v>
      </c>
      <c r="R229">
        <v>1</v>
      </c>
      <c r="S229" t="s">
        <v>609</v>
      </c>
      <c r="T229">
        <v>0</v>
      </c>
      <c r="U229" t="s">
        <v>610</v>
      </c>
      <c r="V229">
        <v>-1</v>
      </c>
      <c r="X229">
        <v>1326976</v>
      </c>
      <c r="Z229" s="5">
        <v>46007.241666666669</v>
      </c>
      <c r="AA229" s="5">
        <v>46007.241666666669</v>
      </c>
      <c r="AC229">
        <v>0</v>
      </c>
      <c r="AD229">
        <v>557612</v>
      </c>
      <c r="AE229">
        <v>0</v>
      </c>
      <c r="AF229" s="5">
        <v>46002.440972222219</v>
      </c>
      <c r="AG229" s="5">
        <v>46002.440972222219</v>
      </c>
      <c r="AI229">
        <v>1</v>
      </c>
    </row>
    <row r="230" spans="1:35" x14ac:dyDescent="0.2">
      <c r="A230" t="s">
        <v>858</v>
      </c>
      <c r="B230" t="s">
        <v>604</v>
      </c>
      <c r="C230" t="s">
        <v>654</v>
      </c>
      <c r="D230">
        <v>342126</v>
      </c>
      <c r="E230" t="s">
        <v>606</v>
      </c>
      <c r="F230">
        <v>14796</v>
      </c>
      <c r="G230">
        <v>70690</v>
      </c>
      <c r="J230">
        <v>148840</v>
      </c>
      <c r="K230">
        <v>0</v>
      </c>
      <c r="L230">
        <v>1</v>
      </c>
      <c r="M230">
        <v>1</v>
      </c>
      <c r="N230">
        <v>657525</v>
      </c>
      <c r="O230" t="s">
        <v>607</v>
      </c>
      <c r="P230">
        <v>339432</v>
      </c>
      <c r="Q230" t="s">
        <v>843</v>
      </c>
      <c r="R230">
        <v>1</v>
      </c>
      <c r="S230" t="s">
        <v>609</v>
      </c>
      <c r="T230">
        <v>0</v>
      </c>
      <c r="U230" t="s">
        <v>610</v>
      </c>
      <c r="V230">
        <v>1326976</v>
      </c>
      <c r="X230">
        <v>1326976</v>
      </c>
      <c r="Y230">
        <v>1</v>
      </c>
      <c r="Z230" s="5">
        <v>46007.241666666669</v>
      </c>
      <c r="AA230" s="5">
        <v>46007.241666666669</v>
      </c>
      <c r="AB230">
        <v>60</v>
      </c>
      <c r="AC230">
        <v>2</v>
      </c>
      <c r="AD230">
        <v>557612</v>
      </c>
      <c r="AE230">
        <v>0</v>
      </c>
      <c r="AF230" s="5">
        <v>46002.440972222219</v>
      </c>
      <c r="AG230" s="5">
        <v>46002.440972222219</v>
      </c>
      <c r="AH230" s="5">
        <v>46007.241666666669</v>
      </c>
      <c r="AI230">
        <v>1</v>
      </c>
    </row>
    <row r="231" spans="1:35" x14ac:dyDescent="0.2">
      <c r="A231" t="s">
        <v>859</v>
      </c>
      <c r="B231" t="s">
        <v>604</v>
      </c>
      <c r="C231" t="s">
        <v>654</v>
      </c>
      <c r="D231">
        <v>342126</v>
      </c>
      <c r="E231" t="s">
        <v>606</v>
      </c>
      <c r="F231">
        <v>14796</v>
      </c>
      <c r="G231">
        <v>70690</v>
      </c>
      <c r="J231">
        <v>148840</v>
      </c>
      <c r="K231">
        <v>0</v>
      </c>
      <c r="L231">
        <v>1</v>
      </c>
      <c r="M231">
        <v>1</v>
      </c>
      <c r="N231">
        <v>648959</v>
      </c>
      <c r="O231" t="s">
        <v>607</v>
      </c>
      <c r="P231">
        <v>339432</v>
      </c>
      <c r="Q231" t="s">
        <v>843</v>
      </c>
      <c r="R231">
        <v>1</v>
      </c>
      <c r="S231" t="s">
        <v>609</v>
      </c>
      <c r="T231">
        <v>0</v>
      </c>
      <c r="U231" t="s">
        <v>610</v>
      </c>
      <c r="V231">
        <v>1326976</v>
      </c>
      <c r="X231">
        <v>1326976</v>
      </c>
      <c r="Y231">
        <v>1</v>
      </c>
      <c r="Z231" s="5">
        <v>46007.241666666669</v>
      </c>
      <c r="AA231" s="5">
        <v>46007.242361111108</v>
      </c>
      <c r="AB231">
        <v>60</v>
      </c>
      <c r="AC231">
        <v>2</v>
      </c>
      <c r="AD231">
        <v>557612</v>
      </c>
      <c r="AE231">
        <v>0</v>
      </c>
      <c r="AF231" s="5">
        <v>46002.440972222219</v>
      </c>
      <c r="AG231" s="5">
        <v>46002.440972222219</v>
      </c>
      <c r="AH231" s="5">
        <v>46007.242361111108</v>
      </c>
      <c r="AI231">
        <v>1</v>
      </c>
    </row>
    <row r="232" spans="1:35" x14ac:dyDescent="0.2">
      <c r="A232" t="s">
        <v>860</v>
      </c>
      <c r="B232" t="s">
        <v>604</v>
      </c>
      <c r="C232" t="s">
        <v>654</v>
      </c>
      <c r="D232">
        <v>342126</v>
      </c>
      <c r="E232" t="s">
        <v>606</v>
      </c>
      <c r="F232">
        <v>14796</v>
      </c>
      <c r="G232">
        <v>70690</v>
      </c>
      <c r="J232">
        <v>148840</v>
      </c>
      <c r="K232">
        <v>0</v>
      </c>
      <c r="L232">
        <v>0</v>
      </c>
      <c r="M232">
        <v>0</v>
      </c>
      <c r="N232">
        <v>648953</v>
      </c>
      <c r="O232" t="s">
        <v>607</v>
      </c>
      <c r="P232">
        <v>339432</v>
      </c>
      <c r="Q232" t="s">
        <v>843</v>
      </c>
      <c r="R232">
        <v>1</v>
      </c>
      <c r="S232" t="s">
        <v>609</v>
      </c>
      <c r="T232">
        <v>0</v>
      </c>
      <c r="U232" t="s">
        <v>610</v>
      </c>
      <c r="V232">
        <v>-1</v>
      </c>
      <c r="X232">
        <v>1326976</v>
      </c>
      <c r="Z232" s="5">
        <v>46007.241666666669</v>
      </c>
      <c r="AA232" s="5">
        <v>46007.241666666669</v>
      </c>
      <c r="AC232">
        <v>0</v>
      </c>
      <c r="AD232">
        <v>557612</v>
      </c>
      <c r="AE232">
        <v>0</v>
      </c>
      <c r="AF232" s="5">
        <v>46002.440972222219</v>
      </c>
      <c r="AG232" s="5">
        <v>46002.440972222219</v>
      </c>
      <c r="AI23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8B018-B1DF-FE48-ADD0-8AD8CC49E23B}">
  <dimension ref="A1:Q7"/>
  <sheetViews>
    <sheetView workbookViewId="0">
      <selection sqref="A1:XFD1048576"/>
    </sheetView>
  </sheetViews>
  <sheetFormatPr baseColWidth="10" defaultRowHeight="16" x14ac:dyDescent="0.2"/>
  <sheetData>
    <row r="1" spans="1:17" x14ac:dyDescent="0.2">
      <c r="A1" t="s">
        <v>861</v>
      </c>
      <c r="B1" t="s">
        <v>411</v>
      </c>
      <c r="C1" t="s">
        <v>862</v>
      </c>
      <c r="D1" t="s">
        <v>562</v>
      </c>
      <c r="E1" t="s">
        <v>863</v>
      </c>
      <c r="F1" t="s">
        <v>864</v>
      </c>
      <c r="G1" t="s">
        <v>865</v>
      </c>
      <c r="H1" t="s">
        <v>866</v>
      </c>
      <c r="I1" t="s">
        <v>867</v>
      </c>
      <c r="J1" t="s">
        <v>868</v>
      </c>
      <c r="K1" t="s">
        <v>869</v>
      </c>
      <c r="L1" t="s">
        <v>870</v>
      </c>
      <c r="M1" t="s">
        <v>871</v>
      </c>
      <c r="N1" t="s">
        <v>872</v>
      </c>
      <c r="O1" t="s">
        <v>873</v>
      </c>
      <c r="P1" t="s">
        <v>597</v>
      </c>
      <c r="Q1" t="s">
        <v>874</v>
      </c>
    </row>
    <row r="2" spans="1:17" x14ac:dyDescent="0.2">
      <c r="A2">
        <v>148841</v>
      </c>
      <c r="B2">
        <v>70690</v>
      </c>
      <c r="C2" t="s">
        <v>448</v>
      </c>
      <c r="D2">
        <v>1396625</v>
      </c>
      <c r="E2" t="s">
        <v>654</v>
      </c>
      <c r="F2" s="5">
        <v>46007.235254629632</v>
      </c>
      <c r="G2" s="5">
        <v>46007.236006944448</v>
      </c>
      <c r="H2">
        <v>1</v>
      </c>
      <c r="I2" s="5">
        <v>46002.441134259258</v>
      </c>
      <c r="J2">
        <v>60</v>
      </c>
      <c r="K2">
        <v>65</v>
      </c>
      <c r="L2" t="s">
        <v>875</v>
      </c>
      <c r="M2" t="s">
        <v>876</v>
      </c>
      <c r="N2" t="s">
        <v>877</v>
      </c>
      <c r="O2">
        <v>1</v>
      </c>
      <c r="P2">
        <v>557612</v>
      </c>
      <c r="Q2" t="s">
        <v>878</v>
      </c>
    </row>
    <row r="3" spans="1:17" x14ac:dyDescent="0.2">
      <c r="A3">
        <v>148837</v>
      </c>
      <c r="B3">
        <v>70690</v>
      </c>
      <c r="C3" t="s">
        <v>448</v>
      </c>
      <c r="D3">
        <v>1396621</v>
      </c>
      <c r="E3" t="s">
        <v>634</v>
      </c>
      <c r="F3" s="5">
        <v>46007.252916666665</v>
      </c>
      <c r="G3" s="5">
        <v>46007.256493055553</v>
      </c>
      <c r="H3">
        <v>1</v>
      </c>
      <c r="I3" s="5">
        <v>46002.441122685188</v>
      </c>
      <c r="J3">
        <v>300</v>
      </c>
      <c r="K3">
        <v>309</v>
      </c>
      <c r="L3" t="s">
        <v>879</v>
      </c>
      <c r="M3" t="s">
        <v>880</v>
      </c>
      <c r="N3" t="s">
        <v>877</v>
      </c>
      <c r="O3">
        <v>5</v>
      </c>
      <c r="P3">
        <v>557612</v>
      </c>
      <c r="Q3" t="s">
        <v>878</v>
      </c>
    </row>
    <row r="4" spans="1:17" x14ac:dyDescent="0.2">
      <c r="A4">
        <v>148836</v>
      </c>
      <c r="B4">
        <v>70690</v>
      </c>
      <c r="C4" t="s">
        <v>448</v>
      </c>
      <c r="D4">
        <v>1396620</v>
      </c>
      <c r="E4" t="s">
        <v>605</v>
      </c>
      <c r="F4" s="5">
        <v>46007.260150462964</v>
      </c>
      <c r="G4" s="5">
        <v>46007.262962962966</v>
      </c>
      <c r="H4">
        <v>1</v>
      </c>
      <c r="I4" s="5">
        <v>46002.441122685188</v>
      </c>
      <c r="J4">
        <v>240</v>
      </c>
      <c r="K4">
        <v>243</v>
      </c>
      <c r="L4" t="s">
        <v>881</v>
      </c>
      <c r="M4" t="s">
        <v>882</v>
      </c>
      <c r="N4" t="s">
        <v>877</v>
      </c>
      <c r="O4">
        <v>4</v>
      </c>
      <c r="P4">
        <v>557612</v>
      </c>
      <c r="Q4" t="s">
        <v>878</v>
      </c>
    </row>
    <row r="5" spans="1:17" x14ac:dyDescent="0.2">
      <c r="A5">
        <v>148839</v>
      </c>
      <c r="B5">
        <v>70690</v>
      </c>
      <c r="C5" t="s">
        <v>448</v>
      </c>
      <c r="D5">
        <v>1396623</v>
      </c>
      <c r="E5" t="s">
        <v>654</v>
      </c>
      <c r="F5" s="5">
        <v>46007.244398148148</v>
      </c>
      <c r="G5" s="5">
        <v>46007.245162037034</v>
      </c>
      <c r="H5">
        <v>1</v>
      </c>
      <c r="I5" s="5">
        <v>46002.441122685188</v>
      </c>
      <c r="J5">
        <v>60</v>
      </c>
      <c r="K5">
        <v>66</v>
      </c>
      <c r="L5" t="s">
        <v>883</v>
      </c>
      <c r="M5" t="s">
        <v>884</v>
      </c>
      <c r="N5" t="s">
        <v>877</v>
      </c>
      <c r="O5">
        <v>1</v>
      </c>
      <c r="P5">
        <v>557612</v>
      </c>
      <c r="Q5" t="s">
        <v>878</v>
      </c>
    </row>
    <row r="6" spans="1:17" x14ac:dyDescent="0.2">
      <c r="A6">
        <v>148840</v>
      </c>
      <c r="B6">
        <v>70690</v>
      </c>
      <c r="C6" t="s">
        <v>448</v>
      </c>
      <c r="D6">
        <v>1396624</v>
      </c>
      <c r="E6" t="s">
        <v>654</v>
      </c>
      <c r="F6" s="5">
        <v>46007.241932870369</v>
      </c>
      <c r="G6" s="5">
        <v>46007.242685185185</v>
      </c>
      <c r="H6">
        <v>1</v>
      </c>
      <c r="I6" s="5">
        <v>46002.441122685188</v>
      </c>
      <c r="J6">
        <v>60</v>
      </c>
      <c r="K6">
        <v>65</v>
      </c>
      <c r="L6" t="s">
        <v>885</v>
      </c>
      <c r="M6" t="s">
        <v>886</v>
      </c>
      <c r="N6" t="s">
        <v>877</v>
      </c>
      <c r="O6">
        <v>1</v>
      </c>
      <c r="P6">
        <v>557612</v>
      </c>
      <c r="Q6" t="s">
        <v>878</v>
      </c>
    </row>
    <row r="7" spans="1:17" x14ac:dyDescent="0.2">
      <c r="A7">
        <v>148838</v>
      </c>
      <c r="B7">
        <v>70690</v>
      </c>
      <c r="C7" t="s">
        <v>448</v>
      </c>
      <c r="D7">
        <v>1396622</v>
      </c>
      <c r="E7" t="s">
        <v>654</v>
      </c>
      <c r="F7" s="5">
        <v>46007.248668981483</v>
      </c>
      <c r="G7" s="5">
        <v>46007.249398148146</v>
      </c>
      <c r="H7">
        <v>1</v>
      </c>
      <c r="I7" s="5">
        <v>46002.441122685188</v>
      </c>
      <c r="J7">
        <v>60</v>
      </c>
      <c r="K7">
        <v>63</v>
      </c>
      <c r="L7" t="s">
        <v>887</v>
      </c>
      <c r="M7" t="s">
        <v>888</v>
      </c>
      <c r="N7" t="s">
        <v>877</v>
      </c>
      <c r="O7">
        <v>1</v>
      </c>
      <c r="P7">
        <v>557612</v>
      </c>
      <c r="Q7" t="s">
        <v>878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FB44D-5030-D244-BF41-BBBE7A6D5B90}">
  <dimension ref="A1:O43"/>
  <sheetViews>
    <sheetView workbookViewId="0">
      <selection sqref="A1:XFD1048576"/>
    </sheetView>
  </sheetViews>
  <sheetFormatPr baseColWidth="10" defaultRowHeight="16" x14ac:dyDescent="0.2"/>
  <sheetData>
    <row r="1" spans="1:15" x14ac:dyDescent="0.2">
      <c r="A1" t="s">
        <v>889</v>
      </c>
      <c r="B1" t="s">
        <v>890</v>
      </c>
      <c r="C1" t="s">
        <v>891</v>
      </c>
      <c r="D1" t="s">
        <v>892</v>
      </c>
      <c r="E1" t="s">
        <v>893</v>
      </c>
      <c r="F1" t="s">
        <v>894</v>
      </c>
      <c r="G1" t="s">
        <v>597</v>
      </c>
      <c r="H1" t="s">
        <v>407</v>
      </c>
      <c r="I1" t="s">
        <v>411</v>
      </c>
      <c r="J1" t="s">
        <v>895</v>
      </c>
      <c r="K1" t="s">
        <v>896</v>
      </c>
      <c r="L1" t="s">
        <v>897</v>
      </c>
      <c r="M1" t="s">
        <v>898</v>
      </c>
      <c r="N1" t="s">
        <v>602</v>
      </c>
      <c r="O1" t="s">
        <v>899</v>
      </c>
    </row>
    <row r="2" spans="1:15" x14ac:dyDescent="0.2">
      <c r="A2" t="s">
        <v>900</v>
      </c>
      <c r="B2" s="6">
        <v>46007.230532407404</v>
      </c>
      <c r="C2" t="s">
        <v>901</v>
      </c>
      <c r="D2" t="s">
        <v>902</v>
      </c>
      <c r="E2" t="s">
        <v>903</v>
      </c>
      <c r="F2" t="s">
        <v>904</v>
      </c>
      <c r="G2">
        <v>652934</v>
      </c>
      <c r="H2" t="s">
        <v>456</v>
      </c>
      <c r="I2">
        <v>70690</v>
      </c>
      <c r="J2" t="s">
        <v>470</v>
      </c>
      <c r="L2">
        <v>1765863118082</v>
      </c>
      <c r="M2" s="5">
        <v>46007.230532407404</v>
      </c>
      <c r="N2">
        <v>1</v>
      </c>
      <c r="O2" t="s">
        <v>905</v>
      </c>
    </row>
    <row r="3" spans="1:15" x14ac:dyDescent="0.2">
      <c r="A3" t="s">
        <v>900</v>
      </c>
      <c r="B3" s="6">
        <v>46007.243668981479</v>
      </c>
      <c r="C3" t="s">
        <v>906</v>
      </c>
      <c r="D3" t="s">
        <v>907</v>
      </c>
      <c r="E3" t="s">
        <v>908</v>
      </c>
      <c r="F3" t="s">
        <v>904</v>
      </c>
      <c r="G3">
        <v>647411</v>
      </c>
      <c r="H3" t="s">
        <v>456</v>
      </c>
      <c r="I3">
        <v>70690</v>
      </c>
      <c r="J3" t="s">
        <v>487</v>
      </c>
      <c r="L3">
        <v>1765864253761</v>
      </c>
      <c r="M3" s="5">
        <v>46007.243668981479</v>
      </c>
      <c r="N3">
        <v>1</v>
      </c>
      <c r="O3" t="s">
        <v>909</v>
      </c>
    </row>
    <row r="4" spans="1:15" x14ac:dyDescent="0.2">
      <c r="A4" t="s">
        <v>900</v>
      </c>
      <c r="B4" s="6">
        <v>46007.2578587963</v>
      </c>
      <c r="C4" t="s">
        <v>910</v>
      </c>
      <c r="D4" t="s">
        <v>911</v>
      </c>
      <c r="E4" t="s">
        <v>912</v>
      </c>
      <c r="F4" t="s">
        <v>904</v>
      </c>
      <c r="G4">
        <v>648951</v>
      </c>
      <c r="H4" t="s">
        <v>456</v>
      </c>
      <c r="I4">
        <v>70690</v>
      </c>
      <c r="J4" t="s">
        <v>511</v>
      </c>
      <c r="L4">
        <v>1765865479199</v>
      </c>
      <c r="M4" s="5">
        <v>46007.2578587963</v>
      </c>
      <c r="N4">
        <v>1</v>
      </c>
      <c r="O4" t="s">
        <v>913</v>
      </c>
    </row>
    <row r="5" spans="1:15" x14ac:dyDescent="0.2">
      <c r="A5" t="s">
        <v>900</v>
      </c>
      <c r="B5" s="6">
        <v>46007.230729166666</v>
      </c>
      <c r="C5" t="s">
        <v>914</v>
      </c>
      <c r="D5" t="s">
        <v>915</v>
      </c>
      <c r="E5" t="s">
        <v>916</v>
      </c>
      <c r="F5" t="s">
        <v>904</v>
      </c>
      <c r="G5">
        <v>652934</v>
      </c>
      <c r="H5" t="s">
        <v>456</v>
      </c>
      <c r="I5">
        <v>70690</v>
      </c>
      <c r="J5" t="s">
        <v>470</v>
      </c>
      <c r="L5">
        <v>1765863135847</v>
      </c>
      <c r="M5" s="5">
        <v>46007.230729166666</v>
      </c>
      <c r="N5">
        <v>1</v>
      </c>
      <c r="O5" t="s">
        <v>917</v>
      </c>
    </row>
    <row r="6" spans="1:15" x14ac:dyDescent="0.2">
      <c r="A6" t="s">
        <v>900</v>
      </c>
      <c r="B6" s="6">
        <v>46007.247002314813</v>
      </c>
      <c r="C6" t="s">
        <v>918</v>
      </c>
      <c r="D6" t="s">
        <v>919</v>
      </c>
      <c r="E6" t="s">
        <v>920</v>
      </c>
      <c r="F6" t="s">
        <v>904</v>
      </c>
      <c r="G6">
        <v>647411</v>
      </c>
      <c r="H6" t="s">
        <v>456</v>
      </c>
      <c r="I6">
        <v>70690</v>
      </c>
      <c r="J6" t="s">
        <v>487</v>
      </c>
      <c r="L6">
        <v>1765864541715</v>
      </c>
      <c r="M6" s="5">
        <v>46007.247002314813</v>
      </c>
      <c r="N6">
        <v>1</v>
      </c>
      <c r="O6" t="s">
        <v>921</v>
      </c>
    </row>
    <row r="7" spans="1:15" x14ac:dyDescent="0.2">
      <c r="A7" t="s">
        <v>900</v>
      </c>
      <c r="B7" s="6">
        <v>46007.230810185189</v>
      </c>
      <c r="C7" t="s">
        <v>922</v>
      </c>
      <c r="D7" t="s">
        <v>923</v>
      </c>
      <c r="E7" t="s">
        <v>924</v>
      </c>
      <c r="F7" t="s">
        <v>904</v>
      </c>
      <c r="G7">
        <v>648959</v>
      </c>
      <c r="H7" t="s">
        <v>456</v>
      </c>
      <c r="I7">
        <v>70690</v>
      </c>
      <c r="J7" t="s">
        <v>556</v>
      </c>
      <c r="L7">
        <v>1765863142198</v>
      </c>
      <c r="M7" s="5">
        <v>46007.230810185189</v>
      </c>
      <c r="N7">
        <v>1</v>
      </c>
      <c r="O7" t="s">
        <v>925</v>
      </c>
    </row>
    <row r="8" spans="1:15" x14ac:dyDescent="0.2">
      <c r="A8" t="s">
        <v>900</v>
      </c>
      <c r="B8" s="6">
        <v>46007.241261574076</v>
      </c>
      <c r="C8" t="s">
        <v>926</v>
      </c>
      <c r="D8" t="s">
        <v>927</v>
      </c>
      <c r="E8">
        <v>40</v>
      </c>
      <c r="F8" t="s">
        <v>904</v>
      </c>
      <c r="G8">
        <v>647411</v>
      </c>
      <c r="H8" t="s">
        <v>456</v>
      </c>
      <c r="I8">
        <v>70690</v>
      </c>
      <c r="J8" t="s">
        <v>487</v>
      </c>
      <c r="L8">
        <v>1765864045636</v>
      </c>
      <c r="M8" s="5">
        <v>46007.241261574076</v>
      </c>
      <c r="N8">
        <v>1</v>
      </c>
      <c r="O8" t="s">
        <v>928</v>
      </c>
    </row>
    <row r="9" spans="1:15" x14ac:dyDescent="0.2">
      <c r="A9" t="s">
        <v>900</v>
      </c>
      <c r="B9" s="6">
        <v>46007.240636574075</v>
      </c>
      <c r="C9" t="s">
        <v>929</v>
      </c>
      <c r="D9" t="s">
        <v>930</v>
      </c>
      <c r="E9" t="s">
        <v>931</v>
      </c>
      <c r="F9" t="s">
        <v>904</v>
      </c>
      <c r="G9">
        <v>647411</v>
      </c>
      <c r="H9" t="s">
        <v>456</v>
      </c>
      <c r="I9">
        <v>70690</v>
      </c>
      <c r="J9" t="s">
        <v>487</v>
      </c>
      <c r="L9">
        <v>1765863991055</v>
      </c>
      <c r="M9" s="5">
        <v>46007.240636574075</v>
      </c>
      <c r="N9">
        <v>1</v>
      </c>
      <c r="O9" t="s">
        <v>932</v>
      </c>
    </row>
    <row r="10" spans="1:15" x14ac:dyDescent="0.2">
      <c r="A10" t="s">
        <v>900</v>
      </c>
      <c r="B10" s="6">
        <v>46007.252245370371</v>
      </c>
      <c r="C10" t="s">
        <v>933</v>
      </c>
      <c r="D10" t="s">
        <v>934</v>
      </c>
      <c r="E10" t="s">
        <v>935</v>
      </c>
      <c r="F10" t="s">
        <v>904</v>
      </c>
      <c r="G10">
        <v>652958</v>
      </c>
      <c r="H10" t="s">
        <v>456</v>
      </c>
      <c r="I10">
        <v>70690</v>
      </c>
      <c r="J10" t="s">
        <v>477</v>
      </c>
      <c r="L10">
        <v>1765864994669</v>
      </c>
      <c r="M10" s="5">
        <v>46007.252245370371</v>
      </c>
      <c r="N10">
        <v>1</v>
      </c>
      <c r="O10" t="s">
        <v>936</v>
      </c>
    </row>
    <row r="11" spans="1:15" x14ac:dyDescent="0.2">
      <c r="A11" t="s">
        <v>900</v>
      </c>
      <c r="B11" s="6">
        <v>46007.246932870374</v>
      </c>
      <c r="C11" t="s">
        <v>937</v>
      </c>
      <c r="D11" t="s">
        <v>938</v>
      </c>
      <c r="E11" t="s">
        <v>939</v>
      </c>
      <c r="F11" t="s">
        <v>904</v>
      </c>
      <c r="G11">
        <v>647499</v>
      </c>
      <c r="H11" t="s">
        <v>456</v>
      </c>
      <c r="I11">
        <v>70690</v>
      </c>
      <c r="J11" t="s">
        <v>535</v>
      </c>
      <c r="L11">
        <v>1765864535329</v>
      </c>
      <c r="M11" s="5">
        <v>46007.246932870374</v>
      </c>
      <c r="N11">
        <v>1</v>
      </c>
      <c r="O11" t="s">
        <v>940</v>
      </c>
    </row>
    <row r="12" spans="1:15" x14ac:dyDescent="0.2">
      <c r="A12" t="s">
        <v>900</v>
      </c>
      <c r="B12" s="6">
        <v>46007.230486111112</v>
      </c>
      <c r="C12" t="s">
        <v>941</v>
      </c>
      <c r="D12" t="s">
        <v>942</v>
      </c>
      <c r="E12" t="s">
        <v>943</v>
      </c>
      <c r="F12" t="s">
        <v>904</v>
      </c>
      <c r="G12">
        <v>647411</v>
      </c>
      <c r="H12" t="s">
        <v>456</v>
      </c>
      <c r="I12">
        <v>70690</v>
      </c>
      <c r="J12" t="s">
        <v>487</v>
      </c>
      <c r="L12">
        <v>1765863114556</v>
      </c>
      <c r="M12" s="5">
        <v>46007.230486111112</v>
      </c>
      <c r="N12">
        <v>1</v>
      </c>
      <c r="O12" t="s">
        <v>944</v>
      </c>
    </row>
    <row r="13" spans="1:15" x14ac:dyDescent="0.2">
      <c r="A13" t="s">
        <v>900</v>
      </c>
      <c r="B13" s="6">
        <v>46007.236180555556</v>
      </c>
      <c r="C13" t="s">
        <v>945</v>
      </c>
      <c r="D13" t="s">
        <v>946</v>
      </c>
      <c r="E13" t="s">
        <v>947</v>
      </c>
      <c r="F13" t="s">
        <v>904</v>
      </c>
      <c r="G13">
        <v>657525</v>
      </c>
      <c r="H13" t="s">
        <v>456</v>
      </c>
      <c r="I13">
        <v>70690</v>
      </c>
      <c r="J13" t="s">
        <v>515</v>
      </c>
      <c r="L13">
        <v>1765863606911</v>
      </c>
      <c r="M13" s="5">
        <v>46007.236180555556</v>
      </c>
      <c r="N13">
        <v>1</v>
      </c>
      <c r="O13" t="s">
        <v>948</v>
      </c>
    </row>
    <row r="14" spans="1:15" x14ac:dyDescent="0.2">
      <c r="A14" t="s">
        <v>900</v>
      </c>
      <c r="B14" s="6">
        <v>46007.23847222222</v>
      </c>
      <c r="C14" t="s">
        <v>949</v>
      </c>
      <c r="D14" t="s">
        <v>950</v>
      </c>
      <c r="E14" t="s">
        <v>939</v>
      </c>
      <c r="F14" t="s">
        <v>904</v>
      </c>
      <c r="G14">
        <v>647411</v>
      </c>
      <c r="H14" t="s">
        <v>456</v>
      </c>
      <c r="I14">
        <v>70690</v>
      </c>
      <c r="J14" t="s">
        <v>487</v>
      </c>
      <c r="L14">
        <v>1765863804084</v>
      </c>
      <c r="M14" s="5">
        <v>46007.23847222222</v>
      </c>
      <c r="N14">
        <v>1</v>
      </c>
      <c r="O14" t="s">
        <v>951</v>
      </c>
    </row>
    <row r="15" spans="1:15" x14ac:dyDescent="0.2">
      <c r="A15" t="s">
        <v>900</v>
      </c>
      <c r="B15" s="6">
        <v>46007.257662037038</v>
      </c>
      <c r="C15" t="s">
        <v>952</v>
      </c>
      <c r="D15" t="s">
        <v>953</v>
      </c>
      <c r="E15" t="s">
        <v>939</v>
      </c>
      <c r="F15" t="s">
        <v>904</v>
      </c>
      <c r="G15">
        <v>647306</v>
      </c>
      <c r="H15" t="s">
        <v>456</v>
      </c>
      <c r="I15">
        <v>70690</v>
      </c>
      <c r="J15" t="s">
        <v>520</v>
      </c>
      <c r="L15">
        <v>1765865462757</v>
      </c>
      <c r="M15" s="5">
        <v>46007.257662037038</v>
      </c>
      <c r="N15">
        <v>1</v>
      </c>
      <c r="O15" t="s">
        <v>954</v>
      </c>
    </row>
    <row r="16" spans="1:15" x14ac:dyDescent="0.2">
      <c r="A16" t="s">
        <v>900</v>
      </c>
      <c r="B16" s="6">
        <v>46007.22996527778</v>
      </c>
      <c r="C16" t="s">
        <v>955</v>
      </c>
      <c r="D16" t="s">
        <v>956</v>
      </c>
      <c r="E16" t="s">
        <v>957</v>
      </c>
      <c r="F16" t="s">
        <v>904</v>
      </c>
      <c r="G16">
        <v>648959</v>
      </c>
      <c r="H16" t="s">
        <v>456</v>
      </c>
      <c r="I16">
        <v>70690</v>
      </c>
      <c r="J16" t="s">
        <v>556</v>
      </c>
      <c r="L16">
        <v>1765863069804</v>
      </c>
      <c r="M16" s="5">
        <v>46007.22996527778</v>
      </c>
      <c r="N16">
        <v>1</v>
      </c>
      <c r="O16" t="s">
        <v>958</v>
      </c>
    </row>
    <row r="17" spans="1:15" x14ac:dyDescent="0.2">
      <c r="A17" t="s">
        <v>900</v>
      </c>
      <c r="B17" s="6">
        <v>46007.231817129628</v>
      </c>
      <c r="C17" t="s">
        <v>959</v>
      </c>
      <c r="D17" t="s">
        <v>960</v>
      </c>
      <c r="E17" t="s">
        <v>961</v>
      </c>
      <c r="F17" t="s">
        <v>904</v>
      </c>
      <c r="G17">
        <v>647411</v>
      </c>
      <c r="H17" t="s">
        <v>456</v>
      </c>
      <c r="I17">
        <v>70690</v>
      </c>
      <c r="J17" t="s">
        <v>487</v>
      </c>
      <c r="L17">
        <v>1765863229694</v>
      </c>
      <c r="M17" s="5">
        <v>46007.231817129628</v>
      </c>
      <c r="N17">
        <v>1</v>
      </c>
      <c r="O17" t="s">
        <v>962</v>
      </c>
    </row>
    <row r="18" spans="1:15" x14ac:dyDescent="0.2">
      <c r="A18" t="s">
        <v>900</v>
      </c>
      <c r="B18" s="6">
        <v>46007.230300925927</v>
      </c>
      <c r="C18" t="s">
        <v>963</v>
      </c>
      <c r="D18" t="s">
        <v>964</v>
      </c>
      <c r="E18" t="s">
        <v>965</v>
      </c>
      <c r="F18" t="s">
        <v>904</v>
      </c>
      <c r="G18">
        <v>647411</v>
      </c>
      <c r="H18" t="s">
        <v>456</v>
      </c>
      <c r="I18">
        <v>70690</v>
      </c>
      <c r="J18" t="s">
        <v>487</v>
      </c>
      <c r="L18">
        <v>1765863098665</v>
      </c>
      <c r="M18" s="5">
        <v>46007.230300925927</v>
      </c>
      <c r="N18">
        <v>1</v>
      </c>
      <c r="O18" t="s">
        <v>966</v>
      </c>
    </row>
    <row r="19" spans="1:15" x14ac:dyDescent="0.2">
      <c r="A19" t="s">
        <v>900</v>
      </c>
      <c r="B19" s="6">
        <v>46007.240740740737</v>
      </c>
      <c r="C19" t="s">
        <v>967</v>
      </c>
      <c r="D19" t="s">
        <v>968</v>
      </c>
      <c r="E19" t="s">
        <v>969</v>
      </c>
      <c r="F19" t="s">
        <v>904</v>
      </c>
      <c r="G19">
        <v>648959</v>
      </c>
      <c r="H19" t="s">
        <v>456</v>
      </c>
      <c r="I19">
        <v>70690</v>
      </c>
      <c r="J19" t="s">
        <v>556</v>
      </c>
      <c r="L19">
        <v>1765864000653</v>
      </c>
      <c r="M19" s="5">
        <v>46007.240740740737</v>
      </c>
      <c r="N19">
        <v>1</v>
      </c>
      <c r="O19" t="s">
        <v>970</v>
      </c>
    </row>
    <row r="20" spans="1:15" x14ac:dyDescent="0.2">
      <c r="A20" t="s">
        <v>900</v>
      </c>
      <c r="B20" s="6">
        <v>46007.246979166666</v>
      </c>
      <c r="C20" t="s">
        <v>971</v>
      </c>
      <c r="D20" t="s">
        <v>972</v>
      </c>
      <c r="E20" t="s">
        <v>939</v>
      </c>
      <c r="F20" t="s">
        <v>904</v>
      </c>
      <c r="G20">
        <v>652934</v>
      </c>
      <c r="H20" t="s">
        <v>456</v>
      </c>
      <c r="I20">
        <v>70690</v>
      </c>
      <c r="J20" t="s">
        <v>470</v>
      </c>
      <c r="L20">
        <v>1765864539563</v>
      </c>
      <c r="M20" s="5">
        <v>46007.246979166666</v>
      </c>
      <c r="N20">
        <v>1</v>
      </c>
      <c r="O20" t="s">
        <v>973</v>
      </c>
    </row>
    <row r="21" spans="1:15" x14ac:dyDescent="0.2">
      <c r="A21" t="s">
        <v>900</v>
      </c>
      <c r="B21" s="6">
        <v>46007.240937499999</v>
      </c>
      <c r="C21" t="s">
        <v>974</v>
      </c>
      <c r="D21" t="s">
        <v>975</v>
      </c>
      <c r="E21">
        <v>40</v>
      </c>
      <c r="F21" t="s">
        <v>904</v>
      </c>
      <c r="G21">
        <v>647411</v>
      </c>
      <c r="H21" t="s">
        <v>456</v>
      </c>
      <c r="I21">
        <v>70690</v>
      </c>
      <c r="J21" t="s">
        <v>487</v>
      </c>
      <c r="L21">
        <v>1765864017246</v>
      </c>
      <c r="M21" s="5">
        <v>46007.240937499999</v>
      </c>
      <c r="N21">
        <v>1</v>
      </c>
      <c r="O21" t="s">
        <v>976</v>
      </c>
    </row>
    <row r="22" spans="1:15" x14ac:dyDescent="0.2">
      <c r="A22" t="s">
        <v>900</v>
      </c>
      <c r="B22" s="6">
        <v>46007.232048611113</v>
      </c>
      <c r="C22" t="s">
        <v>977</v>
      </c>
      <c r="D22" t="s">
        <v>978</v>
      </c>
      <c r="E22" t="s">
        <v>979</v>
      </c>
      <c r="F22" t="s">
        <v>904</v>
      </c>
      <c r="G22">
        <v>647411</v>
      </c>
      <c r="H22" t="s">
        <v>456</v>
      </c>
      <c r="I22">
        <v>70690</v>
      </c>
      <c r="J22" t="s">
        <v>487</v>
      </c>
      <c r="L22">
        <v>1765863249819</v>
      </c>
      <c r="M22" s="5">
        <v>46007.232048611113</v>
      </c>
      <c r="N22">
        <v>1</v>
      </c>
      <c r="O22" t="s">
        <v>980</v>
      </c>
    </row>
    <row r="23" spans="1:15" x14ac:dyDescent="0.2">
      <c r="A23" t="s">
        <v>900</v>
      </c>
      <c r="B23" s="6">
        <v>46007.240254629629</v>
      </c>
      <c r="C23" t="s">
        <v>981</v>
      </c>
      <c r="D23" t="s">
        <v>982</v>
      </c>
      <c r="E23" t="s">
        <v>983</v>
      </c>
      <c r="F23" t="s">
        <v>904</v>
      </c>
      <c r="G23">
        <v>648959</v>
      </c>
      <c r="H23" t="s">
        <v>456</v>
      </c>
      <c r="I23">
        <v>70690</v>
      </c>
      <c r="J23" t="s">
        <v>556</v>
      </c>
      <c r="L23">
        <v>1765863958366</v>
      </c>
      <c r="M23" s="5">
        <v>46007.240254629629</v>
      </c>
      <c r="N23">
        <v>1</v>
      </c>
      <c r="O23" t="s">
        <v>984</v>
      </c>
    </row>
    <row r="24" spans="1:15" x14ac:dyDescent="0.2">
      <c r="A24" t="s">
        <v>900</v>
      </c>
      <c r="B24" s="6">
        <v>46007.246932870374</v>
      </c>
      <c r="C24" t="s">
        <v>985</v>
      </c>
      <c r="D24" t="s">
        <v>986</v>
      </c>
      <c r="E24" t="s">
        <v>939</v>
      </c>
      <c r="F24" t="s">
        <v>904</v>
      </c>
      <c r="G24">
        <v>651452</v>
      </c>
      <c r="H24" t="s">
        <v>456</v>
      </c>
      <c r="I24">
        <v>70690</v>
      </c>
      <c r="J24" t="s">
        <v>547</v>
      </c>
      <c r="L24">
        <v>1765864535578</v>
      </c>
      <c r="M24" s="5">
        <v>46007.246932870374</v>
      </c>
      <c r="N24">
        <v>1</v>
      </c>
      <c r="O24" t="s">
        <v>987</v>
      </c>
    </row>
    <row r="25" spans="1:15" x14ac:dyDescent="0.2">
      <c r="A25" t="s">
        <v>900</v>
      </c>
      <c r="B25" s="6">
        <v>46007.230405092596</v>
      </c>
      <c r="C25" t="s">
        <v>988</v>
      </c>
      <c r="D25" t="s">
        <v>989</v>
      </c>
      <c r="E25" t="s">
        <v>903</v>
      </c>
      <c r="F25" t="s">
        <v>904</v>
      </c>
      <c r="G25">
        <v>647426</v>
      </c>
      <c r="H25" t="s">
        <v>456</v>
      </c>
      <c r="I25">
        <v>70690</v>
      </c>
      <c r="J25" t="s">
        <v>501</v>
      </c>
      <c r="L25">
        <v>1765863107017</v>
      </c>
      <c r="M25" s="5">
        <v>46007.230405092596</v>
      </c>
      <c r="N25">
        <v>1</v>
      </c>
      <c r="O25" t="s">
        <v>990</v>
      </c>
    </row>
    <row r="26" spans="1:15" x14ac:dyDescent="0.2">
      <c r="A26" t="s">
        <v>900</v>
      </c>
      <c r="B26" s="6">
        <v>46007.243784722225</v>
      </c>
      <c r="C26" t="s">
        <v>991</v>
      </c>
      <c r="D26" t="s">
        <v>992</v>
      </c>
      <c r="E26" t="s">
        <v>993</v>
      </c>
      <c r="F26" t="s">
        <v>904</v>
      </c>
      <c r="G26">
        <v>657525</v>
      </c>
      <c r="H26" t="s">
        <v>456</v>
      </c>
      <c r="I26">
        <v>70690</v>
      </c>
      <c r="J26" t="s">
        <v>515</v>
      </c>
      <c r="L26">
        <v>1765864263265</v>
      </c>
      <c r="M26" s="5">
        <v>46007.243784722225</v>
      </c>
      <c r="N26">
        <v>1</v>
      </c>
      <c r="O26" t="s">
        <v>994</v>
      </c>
    </row>
    <row r="27" spans="1:15" x14ac:dyDescent="0.2">
      <c r="A27" t="s">
        <v>900</v>
      </c>
      <c r="B27" s="6">
        <v>46007.247407407405</v>
      </c>
      <c r="C27" t="s">
        <v>995</v>
      </c>
      <c r="D27" t="s">
        <v>996</v>
      </c>
      <c r="E27">
        <v>110</v>
      </c>
      <c r="F27" t="s">
        <v>904</v>
      </c>
      <c r="G27">
        <v>652934</v>
      </c>
      <c r="H27" t="s">
        <v>456</v>
      </c>
      <c r="I27">
        <v>70690</v>
      </c>
      <c r="J27" t="s">
        <v>470</v>
      </c>
      <c r="L27">
        <v>1765864576667</v>
      </c>
      <c r="M27" s="5">
        <v>46007.247407407405</v>
      </c>
      <c r="N27">
        <v>1</v>
      </c>
      <c r="O27" t="s">
        <v>997</v>
      </c>
    </row>
    <row r="28" spans="1:15" x14ac:dyDescent="0.2">
      <c r="A28" t="s">
        <v>900</v>
      </c>
      <c r="B28" s="6">
        <v>46007.257696759261</v>
      </c>
      <c r="C28" t="s">
        <v>998</v>
      </c>
      <c r="D28" t="s">
        <v>999</v>
      </c>
      <c r="E28" t="s">
        <v>1000</v>
      </c>
      <c r="F28" t="s">
        <v>904</v>
      </c>
      <c r="G28">
        <v>657525</v>
      </c>
      <c r="H28" t="s">
        <v>456</v>
      </c>
      <c r="I28">
        <v>70690</v>
      </c>
      <c r="J28" t="s">
        <v>515</v>
      </c>
      <c r="L28">
        <v>1765865465710</v>
      </c>
      <c r="M28" s="5">
        <v>46007.257696759261</v>
      </c>
      <c r="N28">
        <v>1</v>
      </c>
      <c r="O28" t="s">
        <v>1001</v>
      </c>
    </row>
    <row r="29" spans="1:15" x14ac:dyDescent="0.2">
      <c r="A29" t="s">
        <v>900</v>
      </c>
      <c r="B29" s="6">
        <v>46007.230798611112</v>
      </c>
      <c r="C29" t="s">
        <v>1002</v>
      </c>
      <c r="D29" t="s">
        <v>1003</v>
      </c>
      <c r="E29" t="s">
        <v>1004</v>
      </c>
      <c r="F29" t="s">
        <v>904</v>
      </c>
      <c r="G29">
        <v>647426</v>
      </c>
      <c r="H29" t="s">
        <v>456</v>
      </c>
      <c r="I29">
        <v>70690</v>
      </c>
      <c r="J29" t="s">
        <v>501</v>
      </c>
      <c r="L29">
        <v>1765863141635</v>
      </c>
      <c r="M29" s="5">
        <v>46007.230798611112</v>
      </c>
      <c r="N29">
        <v>1</v>
      </c>
      <c r="O29" t="s">
        <v>1005</v>
      </c>
    </row>
    <row r="30" spans="1:15" x14ac:dyDescent="0.2">
      <c r="A30" t="s">
        <v>900</v>
      </c>
      <c r="B30" s="6">
        <v>46007.251539351855</v>
      </c>
      <c r="C30" t="s">
        <v>1006</v>
      </c>
      <c r="D30" t="s">
        <v>1007</v>
      </c>
      <c r="E30" t="s">
        <v>1008</v>
      </c>
      <c r="F30" t="s">
        <v>904</v>
      </c>
      <c r="G30">
        <v>647411</v>
      </c>
      <c r="H30" t="s">
        <v>456</v>
      </c>
      <c r="I30">
        <v>70690</v>
      </c>
      <c r="J30" t="s">
        <v>487</v>
      </c>
      <c r="L30">
        <v>1765864933426</v>
      </c>
      <c r="M30" s="5">
        <v>46007.251539351855</v>
      </c>
      <c r="N30">
        <v>1</v>
      </c>
      <c r="O30" t="s">
        <v>1009</v>
      </c>
    </row>
    <row r="31" spans="1:15" x14ac:dyDescent="0.2">
      <c r="A31" t="s">
        <v>900</v>
      </c>
      <c r="B31" s="6">
        <v>46007.230231481481</v>
      </c>
      <c r="C31" t="s">
        <v>1010</v>
      </c>
      <c r="D31" t="s">
        <v>1011</v>
      </c>
      <c r="E31" t="s">
        <v>1012</v>
      </c>
      <c r="F31" t="s">
        <v>904</v>
      </c>
      <c r="G31">
        <v>652934</v>
      </c>
      <c r="H31" t="s">
        <v>456</v>
      </c>
      <c r="I31">
        <v>70690</v>
      </c>
      <c r="J31" t="s">
        <v>470</v>
      </c>
      <c r="L31">
        <v>1765863092427</v>
      </c>
      <c r="M31" s="5">
        <v>46007.230231481481</v>
      </c>
      <c r="N31">
        <v>1</v>
      </c>
      <c r="O31" t="s">
        <v>1013</v>
      </c>
    </row>
    <row r="32" spans="1:15" x14ac:dyDescent="0.2">
      <c r="A32" t="s">
        <v>900</v>
      </c>
      <c r="B32" s="6">
        <v>46007.230532407404</v>
      </c>
      <c r="C32" t="s">
        <v>1014</v>
      </c>
      <c r="D32" t="s">
        <v>1015</v>
      </c>
      <c r="E32" t="s">
        <v>1016</v>
      </c>
      <c r="F32" t="s">
        <v>904</v>
      </c>
      <c r="G32">
        <v>636745</v>
      </c>
      <c r="H32" t="s">
        <v>529</v>
      </c>
      <c r="I32">
        <v>70690</v>
      </c>
      <c r="J32" t="s">
        <v>528</v>
      </c>
      <c r="L32">
        <v>1765863118519</v>
      </c>
      <c r="M32" s="5">
        <v>46007.230532407404</v>
      </c>
      <c r="N32">
        <v>1</v>
      </c>
      <c r="O32" t="s">
        <v>1017</v>
      </c>
    </row>
    <row r="33" spans="1:15" x14ac:dyDescent="0.2">
      <c r="A33" t="s">
        <v>900</v>
      </c>
      <c r="B33" s="6">
        <v>46007.237638888888</v>
      </c>
      <c r="C33" t="s">
        <v>1018</v>
      </c>
      <c r="D33" t="s">
        <v>1019</v>
      </c>
      <c r="E33" t="s">
        <v>939</v>
      </c>
      <c r="F33" t="s">
        <v>904</v>
      </c>
      <c r="G33">
        <v>647499</v>
      </c>
      <c r="H33" t="s">
        <v>456</v>
      </c>
      <c r="I33">
        <v>70690</v>
      </c>
      <c r="J33" t="s">
        <v>535</v>
      </c>
      <c r="L33">
        <v>1765863732570</v>
      </c>
      <c r="M33" s="5">
        <v>46007.237638888888</v>
      </c>
      <c r="N33">
        <v>1</v>
      </c>
      <c r="O33" t="s">
        <v>1020</v>
      </c>
    </row>
    <row r="34" spans="1:15" x14ac:dyDescent="0.2">
      <c r="A34" t="s">
        <v>900</v>
      </c>
      <c r="B34" s="6">
        <v>46007.230717592596</v>
      </c>
      <c r="C34" t="s">
        <v>1021</v>
      </c>
      <c r="D34" t="s">
        <v>1022</v>
      </c>
      <c r="E34" t="s">
        <v>1023</v>
      </c>
      <c r="F34" t="s">
        <v>904</v>
      </c>
      <c r="G34">
        <v>647411</v>
      </c>
      <c r="H34" t="s">
        <v>456</v>
      </c>
      <c r="I34">
        <v>70690</v>
      </c>
      <c r="J34" t="s">
        <v>487</v>
      </c>
      <c r="L34">
        <v>1765863134684</v>
      </c>
      <c r="M34" s="5">
        <v>46007.230717592596</v>
      </c>
      <c r="N34">
        <v>1</v>
      </c>
      <c r="O34" t="s">
        <v>1024</v>
      </c>
    </row>
    <row r="35" spans="1:15" x14ac:dyDescent="0.2">
      <c r="A35" t="s">
        <v>900</v>
      </c>
      <c r="B35" s="6">
        <v>46007.238483796296</v>
      </c>
      <c r="C35" t="s">
        <v>1025</v>
      </c>
      <c r="D35" t="s">
        <v>1026</v>
      </c>
      <c r="E35" t="s">
        <v>939</v>
      </c>
      <c r="F35" t="s">
        <v>904</v>
      </c>
      <c r="G35">
        <v>651452</v>
      </c>
      <c r="H35" t="s">
        <v>456</v>
      </c>
      <c r="I35">
        <v>70690</v>
      </c>
      <c r="J35" t="s">
        <v>547</v>
      </c>
      <c r="L35">
        <v>1765863805912</v>
      </c>
      <c r="M35" s="5">
        <v>46007.238483796296</v>
      </c>
      <c r="N35">
        <v>1</v>
      </c>
      <c r="O35" t="s">
        <v>1027</v>
      </c>
    </row>
    <row r="36" spans="1:15" x14ac:dyDescent="0.2">
      <c r="A36" t="s">
        <v>900</v>
      </c>
      <c r="B36" s="6">
        <v>46007.241759259261</v>
      </c>
      <c r="C36" t="s">
        <v>1028</v>
      </c>
      <c r="D36" t="s">
        <v>1029</v>
      </c>
      <c r="E36" t="s">
        <v>1030</v>
      </c>
      <c r="F36" t="s">
        <v>904</v>
      </c>
      <c r="G36">
        <v>647411</v>
      </c>
      <c r="H36" t="s">
        <v>456</v>
      </c>
      <c r="I36">
        <v>70690</v>
      </c>
      <c r="J36" t="s">
        <v>487</v>
      </c>
      <c r="L36">
        <v>1765864088471</v>
      </c>
      <c r="M36" s="5">
        <v>46007.241759259261</v>
      </c>
      <c r="N36">
        <v>1</v>
      </c>
      <c r="O36" t="s">
        <v>1031</v>
      </c>
    </row>
    <row r="37" spans="1:15" x14ac:dyDescent="0.2">
      <c r="A37" t="s">
        <v>900</v>
      </c>
      <c r="B37" s="6">
        <v>46007.238680555558</v>
      </c>
      <c r="C37" t="s">
        <v>1032</v>
      </c>
      <c r="D37" t="s">
        <v>1033</v>
      </c>
      <c r="E37" t="s">
        <v>1034</v>
      </c>
      <c r="F37" t="s">
        <v>904</v>
      </c>
      <c r="G37">
        <v>652934</v>
      </c>
      <c r="H37" t="s">
        <v>456</v>
      </c>
      <c r="I37">
        <v>70690</v>
      </c>
      <c r="J37" t="s">
        <v>470</v>
      </c>
      <c r="L37">
        <v>1765863822687</v>
      </c>
      <c r="M37" s="5">
        <v>46007.238680555558</v>
      </c>
      <c r="N37">
        <v>1</v>
      </c>
      <c r="O37" t="s">
        <v>1035</v>
      </c>
    </row>
    <row r="38" spans="1:15" x14ac:dyDescent="0.2">
      <c r="A38" t="s">
        <v>900</v>
      </c>
      <c r="B38" s="6">
        <v>46007.240555555552</v>
      </c>
      <c r="C38" t="s">
        <v>1036</v>
      </c>
      <c r="D38" t="s">
        <v>1037</v>
      </c>
      <c r="E38" t="s">
        <v>1038</v>
      </c>
      <c r="F38" t="s">
        <v>904</v>
      </c>
      <c r="G38">
        <v>648959</v>
      </c>
      <c r="H38" t="s">
        <v>456</v>
      </c>
      <c r="I38">
        <v>70690</v>
      </c>
      <c r="J38" t="s">
        <v>556</v>
      </c>
      <c r="L38">
        <v>1765863984122</v>
      </c>
      <c r="M38" s="5">
        <v>46007.240555555552</v>
      </c>
      <c r="N38">
        <v>1</v>
      </c>
      <c r="O38" t="s">
        <v>1039</v>
      </c>
    </row>
    <row r="39" spans="1:15" x14ac:dyDescent="0.2">
      <c r="A39" t="s">
        <v>900</v>
      </c>
      <c r="B39" s="6">
        <v>46007.257592592592</v>
      </c>
      <c r="C39" t="s">
        <v>1040</v>
      </c>
      <c r="D39" t="s">
        <v>1041</v>
      </c>
      <c r="E39" t="s">
        <v>939</v>
      </c>
      <c r="F39" t="s">
        <v>904</v>
      </c>
      <c r="G39">
        <v>648959</v>
      </c>
      <c r="H39" t="s">
        <v>456</v>
      </c>
      <c r="I39">
        <v>70690</v>
      </c>
      <c r="J39" t="s">
        <v>556</v>
      </c>
      <c r="L39">
        <v>1765865456674</v>
      </c>
      <c r="M39" s="5">
        <v>46007.257592592592</v>
      </c>
      <c r="N39">
        <v>1</v>
      </c>
      <c r="O39" t="s">
        <v>1042</v>
      </c>
    </row>
    <row r="40" spans="1:15" x14ac:dyDescent="0.2">
      <c r="A40" t="s">
        <v>900</v>
      </c>
      <c r="B40" s="6">
        <v>46007.23101851852</v>
      </c>
      <c r="C40" t="s">
        <v>1043</v>
      </c>
      <c r="D40" t="s">
        <v>1044</v>
      </c>
      <c r="E40" t="s">
        <v>1045</v>
      </c>
      <c r="F40" t="s">
        <v>904</v>
      </c>
      <c r="G40">
        <v>647426</v>
      </c>
      <c r="H40" t="s">
        <v>456</v>
      </c>
      <c r="I40">
        <v>70690</v>
      </c>
      <c r="J40" t="s">
        <v>501</v>
      </c>
      <c r="L40">
        <v>1765863160336</v>
      </c>
      <c r="M40" s="5">
        <v>46007.23101851852</v>
      </c>
      <c r="N40">
        <v>1</v>
      </c>
      <c r="O40" t="s">
        <v>1046</v>
      </c>
    </row>
    <row r="41" spans="1:15" x14ac:dyDescent="0.2">
      <c r="A41" t="s">
        <v>900</v>
      </c>
      <c r="B41" s="6">
        <v>46007.258043981485</v>
      </c>
      <c r="C41" t="s">
        <v>1047</v>
      </c>
      <c r="D41" t="s">
        <v>1048</v>
      </c>
      <c r="E41" t="s">
        <v>1049</v>
      </c>
      <c r="F41" t="s">
        <v>904</v>
      </c>
      <c r="G41">
        <v>647748</v>
      </c>
      <c r="H41" t="s">
        <v>456</v>
      </c>
      <c r="I41">
        <v>70690</v>
      </c>
      <c r="J41" t="s">
        <v>539</v>
      </c>
      <c r="L41">
        <v>1765865495074</v>
      </c>
      <c r="M41" s="5">
        <v>46007.258043981485</v>
      </c>
      <c r="N41">
        <v>1</v>
      </c>
      <c r="O41" t="s">
        <v>1050</v>
      </c>
    </row>
    <row r="42" spans="1:15" x14ac:dyDescent="0.2">
      <c r="A42" t="s">
        <v>900</v>
      </c>
      <c r="B42" s="6">
        <v>46007.230150462965</v>
      </c>
      <c r="C42" t="s">
        <v>1051</v>
      </c>
      <c r="D42" t="s">
        <v>1052</v>
      </c>
      <c r="E42" t="s">
        <v>1053</v>
      </c>
      <c r="F42" t="s">
        <v>904</v>
      </c>
      <c r="G42">
        <v>657525</v>
      </c>
      <c r="H42" t="s">
        <v>456</v>
      </c>
      <c r="I42">
        <v>70690</v>
      </c>
      <c r="J42" t="s">
        <v>515</v>
      </c>
      <c r="L42">
        <v>1765863085209</v>
      </c>
      <c r="M42" s="5">
        <v>46007.230150462965</v>
      </c>
      <c r="N42">
        <v>1</v>
      </c>
      <c r="O42" t="s">
        <v>1054</v>
      </c>
    </row>
    <row r="43" spans="1:15" x14ac:dyDescent="0.2">
      <c r="A43" t="s">
        <v>900</v>
      </c>
      <c r="B43" s="6">
        <v>46007.232754629629</v>
      </c>
      <c r="C43" t="s">
        <v>1055</v>
      </c>
      <c r="D43" t="s">
        <v>1056</v>
      </c>
      <c r="E43" t="s">
        <v>1057</v>
      </c>
      <c r="F43" t="s">
        <v>904</v>
      </c>
      <c r="G43">
        <v>647411</v>
      </c>
      <c r="H43" t="s">
        <v>456</v>
      </c>
      <c r="I43">
        <v>70690</v>
      </c>
      <c r="J43" t="s">
        <v>487</v>
      </c>
      <c r="L43">
        <v>1765863310779</v>
      </c>
      <c r="M43" s="5">
        <v>46007.232754629629</v>
      </c>
      <c r="N43">
        <v>1</v>
      </c>
      <c r="O43" t="s">
        <v>1058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0A09-0291-1E41-A714-E61E27109376}">
  <dimension ref="A1:AO2"/>
  <sheetViews>
    <sheetView tabSelected="1" workbookViewId="0">
      <selection activeCell="L19" sqref="L19"/>
    </sheetView>
  </sheetViews>
  <sheetFormatPr baseColWidth="10" defaultRowHeight="16" x14ac:dyDescent="0.2"/>
  <sheetData>
    <row r="1" spans="1:41" x14ac:dyDescent="0.2">
      <c r="A1" t="s">
        <v>411</v>
      </c>
      <c r="B1" t="s">
        <v>437</v>
      </c>
      <c r="C1" t="s">
        <v>1059</v>
      </c>
      <c r="D1" t="s">
        <v>1060</v>
      </c>
      <c r="E1" t="s">
        <v>409</v>
      </c>
      <c r="F1" t="s">
        <v>1061</v>
      </c>
      <c r="G1" t="s">
        <v>1062</v>
      </c>
      <c r="H1" t="s">
        <v>1063</v>
      </c>
      <c r="I1" t="s">
        <v>1064</v>
      </c>
      <c r="J1" t="s">
        <v>1065</v>
      </c>
      <c r="K1" t="s">
        <v>1066</v>
      </c>
      <c r="L1" t="s">
        <v>416</v>
      </c>
      <c r="M1" t="s">
        <v>417</v>
      </c>
      <c r="N1" t="s">
        <v>1067</v>
      </c>
      <c r="O1" t="s">
        <v>1068</v>
      </c>
      <c r="P1" t="s">
        <v>414</v>
      </c>
      <c r="Q1" t="s">
        <v>415</v>
      </c>
      <c r="R1" t="s">
        <v>1069</v>
      </c>
      <c r="S1" t="s">
        <v>1070</v>
      </c>
      <c r="T1" t="s">
        <v>1071</v>
      </c>
      <c r="U1" t="s">
        <v>1072</v>
      </c>
      <c r="V1" t="s">
        <v>872</v>
      </c>
      <c r="W1" t="s">
        <v>1073</v>
      </c>
      <c r="X1" t="s">
        <v>1074</v>
      </c>
      <c r="Y1" t="s">
        <v>1075</v>
      </c>
      <c r="Z1" t="s">
        <v>1076</v>
      </c>
      <c r="AA1" t="s">
        <v>1077</v>
      </c>
      <c r="AB1" t="s">
        <v>1078</v>
      </c>
      <c r="AC1" t="s">
        <v>1079</v>
      </c>
      <c r="AD1" t="s">
        <v>1080</v>
      </c>
      <c r="AE1" t="s">
        <v>1081</v>
      </c>
      <c r="AF1" t="s">
        <v>1082</v>
      </c>
      <c r="AG1" t="s">
        <v>1083</v>
      </c>
      <c r="AH1" t="s">
        <v>1084</v>
      </c>
      <c r="AI1" t="s">
        <v>579</v>
      </c>
      <c r="AJ1" t="s">
        <v>1085</v>
      </c>
      <c r="AK1" t="s">
        <v>867</v>
      </c>
      <c r="AL1" t="s">
        <v>1086</v>
      </c>
      <c r="AM1" t="s">
        <v>1087</v>
      </c>
      <c r="AN1" t="s">
        <v>1088</v>
      </c>
      <c r="AO1" t="s">
        <v>1089</v>
      </c>
    </row>
    <row r="2" spans="1:41" x14ac:dyDescent="0.2">
      <c r="A2">
        <v>70690</v>
      </c>
      <c r="B2">
        <v>14796</v>
      </c>
      <c r="C2" t="s">
        <v>1090</v>
      </c>
      <c r="E2" t="s">
        <v>448</v>
      </c>
      <c r="F2">
        <v>0</v>
      </c>
      <c r="G2" t="s">
        <v>1091</v>
      </c>
      <c r="H2">
        <v>636745</v>
      </c>
      <c r="I2">
        <v>636745</v>
      </c>
      <c r="J2" t="s">
        <v>1092</v>
      </c>
      <c r="K2" t="s">
        <v>1093</v>
      </c>
      <c r="L2" t="s">
        <v>1094</v>
      </c>
      <c r="M2" t="s">
        <v>1095</v>
      </c>
      <c r="N2" t="s">
        <v>1096</v>
      </c>
      <c r="O2" t="s">
        <v>1095</v>
      </c>
      <c r="P2">
        <v>49.98</v>
      </c>
      <c r="Q2">
        <v>49.98</v>
      </c>
      <c r="R2">
        <v>11.84</v>
      </c>
      <c r="S2">
        <v>12.45</v>
      </c>
      <c r="T2" t="s">
        <v>1097</v>
      </c>
      <c r="U2">
        <v>10372</v>
      </c>
      <c r="V2" t="s">
        <v>877</v>
      </c>
      <c r="W2">
        <v>54332</v>
      </c>
      <c r="X2">
        <v>1</v>
      </c>
      <c r="Y2">
        <v>0</v>
      </c>
      <c r="Z2">
        <v>0</v>
      </c>
      <c r="AA2" t="s">
        <v>1098</v>
      </c>
      <c r="AB2" t="s">
        <v>1099</v>
      </c>
      <c r="AC2" t="s">
        <v>1100</v>
      </c>
      <c r="AD2" t="s">
        <v>1101</v>
      </c>
      <c r="AE2" t="s">
        <v>1102</v>
      </c>
      <c r="AF2" t="s">
        <v>1103</v>
      </c>
      <c r="AG2" t="s">
        <v>1104</v>
      </c>
      <c r="AH2" t="s">
        <v>1105</v>
      </c>
      <c r="AI2">
        <v>0</v>
      </c>
      <c r="AJ2">
        <v>0</v>
      </c>
      <c r="AK2" t="s">
        <v>1106</v>
      </c>
      <c r="AL2">
        <v>16</v>
      </c>
      <c r="AM2">
        <v>1</v>
      </c>
      <c r="AN2">
        <v>4</v>
      </c>
      <c r="AO2">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Sheet1</vt:lpstr>
      <vt:lpstr>70690 transcript</vt:lpstr>
      <vt:lpstr>f_user_session_70690</vt:lpstr>
      <vt:lpstr>f_user_reaction_70690</vt:lpstr>
      <vt:lpstr>f_user_poll_70690</vt:lpstr>
      <vt:lpstr>d_classroom_activity_70690</vt:lpstr>
      <vt:lpstr>chats_70690</vt:lpstr>
      <vt:lpstr>f_course_session_70690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Namra Naseem</dc:creator>
  <cp:lastModifiedBy>Namra Naseem</cp:lastModifiedBy>
  <dcterms:created xsi:type="dcterms:W3CDTF">2025-11-26T07:39:31Z</dcterms:created>
  <dcterms:modified xsi:type="dcterms:W3CDTF">2026-02-11T08:11:35Z</dcterms:modified>
</cp:coreProperties>
</file>